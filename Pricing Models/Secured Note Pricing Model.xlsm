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095" windowWidth="12510" windowHeight="6690" tabRatio="869"/>
  </bookViews>
  <sheets>
    <sheet name="08.31.2016" sheetId="27" r:id="rId1"/>
    <sheet name="CLOIE Pre and Post Crisis Index" sheetId="7" r:id="rId2"/>
  </sheets>
  <definedNames>
    <definedName name="_xlnm._FilterDatabase" localSheetId="0" hidden="1">'08.31.2016'!#REF!</definedName>
  </definedNames>
  <calcPr calcId="152511" iterate="1" iterateCount="750" calcOnSave="0"/>
</workbook>
</file>

<file path=xl/calcChain.xml><?xml version="1.0" encoding="utf-8"?>
<calcChain xmlns="http://schemas.openxmlformats.org/spreadsheetml/2006/main">
  <c r="M108" i="27" l="1"/>
  <c r="M107" i="27"/>
  <c r="M106" i="27"/>
  <c r="M104" i="27"/>
  <c r="M103" i="27"/>
  <c r="M102" i="27"/>
  <c r="M101" i="27"/>
  <c r="M100" i="27"/>
  <c r="M98" i="27"/>
  <c r="M97" i="27"/>
  <c r="M96" i="27"/>
  <c r="M95" i="27"/>
  <c r="M94" i="27"/>
  <c r="M93" i="27"/>
  <c r="M91" i="27"/>
  <c r="M90" i="27"/>
  <c r="M89" i="27"/>
  <c r="M88" i="27"/>
  <c r="M86" i="27"/>
  <c r="M85" i="27"/>
  <c r="M84" i="27"/>
  <c r="M83" i="27"/>
  <c r="M74" i="27"/>
  <c r="M73" i="27"/>
  <c r="M72" i="27"/>
  <c r="M69" i="27"/>
  <c r="M68" i="27"/>
  <c r="M67" i="27"/>
  <c r="M64" i="27"/>
  <c r="M63" i="27"/>
  <c r="M62" i="27"/>
  <c r="M61" i="27"/>
  <c r="M58" i="27"/>
  <c r="M57" i="27"/>
  <c r="M56" i="27"/>
  <c r="M55" i="27"/>
  <c r="M52" i="27"/>
  <c r="M51" i="27"/>
  <c r="M50" i="27"/>
  <c r="M47" i="27"/>
  <c r="M46" i="27"/>
  <c r="M45" i="27"/>
  <c r="M44" i="27"/>
  <c r="M41" i="27"/>
  <c r="M40" i="27"/>
  <c r="M39" i="27"/>
  <c r="M36" i="27"/>
  <c r="M35" i="27"/>
  <c r="M34" i="27"/>
  <c r="M31" i="27"/>
  <c r="M30" i="27"/>
  <c r="M29" i="27"/>
  <c r="M26" i="27"/>
  <c r="M25" i="27"/>
  <c r="M24" i="27"/>
  <c r="M23" i="27"/>
  <c r="M20" i="27"/>
  <c r="M19" i="27"/>
  <c r="M18" i="27"/>
  <c r="M17" i="27"/>
  <c r="M14" i="27"/>
  <c r="M13" i="27"/>
  <c r="M10" i="27"/>
  <c r="M9" i="27"/>
  <c r="M8" i="27"/>
  <c r="M5" i="27"/>
  <c r="M4" i="27"/>
  <c r="S109" i="27" l="1"/>
  <c r="R109" i="27"/>
  <c r="T109" i="27"/>
  <c r="H109" i="27"/>
  <c r="T108" i="27"/>
  <c r="S108" i="27"/>
  <c r="R108" i="27"/>
  <c r="H108" i="27"/>
  <c r="T107" i="27"/>
  <c r="S107" i="27"/>
  <c r="R107" i="27"/>
  <c r="H107" i="27"/>
  <c r="T106" i="27"/>
  <c r="S106" i="27"/>
  <c r="R106" i="27"/>
  <c r="H106" i="27"/>
  <c r="N105" i="27"/>
  <c r="V105" i="27" s="1"/>
  <c r="H105" i="27"/>
  <c r="S104" i="27"/>
  <c r="T104" i="27"/>
  <c r="H104" i="27"/>
  <c r="S103" i="27"/>
  <c r="T103" i="27"/>
  <c r="H103" i="27"/>
  <c r="T102" i="27"/>
  <c r="S102" i="27"/>
  <c r="R102" i="27"/>
  <c r="H102" i="27"/>
  <c r="S101" i="27"/>
  <c r="T101" i="27"/>
  <c r="H101" i="27"/>
  <c r="T100" i="27"/>
  <c r="U100" i="27" s="1"/>
  <c r="S100" i="27"/>
  <c r="R100" i="27"/>
  <c r="H100" i="27"/>
  <c r="Q99" i="27"/>
  <c r="N99" i="27"/>
  <c r="V99" i="27" s="1"/>
  <c r="S98" i="27"/>
  <c r="R98" i="27"/>
  <c r="H98" i="27"/>
  <c r="S97" i="27"/>
  <c r="R97" i="27"/>
  <c r="T97" i="27"/>
  <c r="H97" i="27"/>
  <c r="T96" i="27"/>
  <c r="S96" i="27"/>
  <c r="R96" i="27"/>
  <c r="H96" i="27"/>
  <c r="T95" i="27"/>
  <c r="S95" i="27"/>
  <c r="R95" i="27"/>
  <c r="H95" i="27"/>
  <c r="T94" i="27"/>
  <c r="S94" i="27"/>
  <c r="R94" i="27"/>
  <c r="H94" i="27"/>
  <c r="T93" i="27"/>
  <c r="U93" i="27" s="1"/>
  <c r="S93" i="27"/>
  <c r="R93" i="27"/>
  <c r="H93" i="27"/>
  <c r="Q92" i="27"/>
  <c r="N92" i="27"/>
  <c r="V92" i="27" s="1"/>
  <c r="S91" i="27"/>
  <c r="R91" i="27"/>
  <c r="H91" i="27"/>
  <c r="S90" i="27"/>
  <c r="H90" i="27"/>
  <c r="T89" i="27"/>
  <c r="S89" i="27"/>
  <c r="R89" i="27"/>
  <c r="H89" i="27"/>
  <c r="T88" i="27"/>
  <c r="U88" i="27" s="1"/>
  <c r="S88" i="27"/>
  <c r="R88" i="27"/>
  <c r="H88" i="27"/>
  <c r="Q87" i="27"/>
  <c r="N87" i="27"/>
  <c r="V87" i="27" s="1"/>
  <c r="S86" i="27"/>
  <c r="H86" i="27"/>
  <c r="S85" i="27"/>
  <c r="R85" i="27"/>
  <c r="T85" i="27"/>
  <c r="H85" i="27"/>
  <c r="S84" i="27"/>
  <c r="H84" i="27"/>
  <c r="T83" i="27"/>
  <c r="U83" i="27" s="1"/>
  <c r="S83" i="27"/>
  <c r="R83" i="27"/>
  <c r="H83" i="27"/>
  <c r="Q82" i="27"/>
  <c r="N82" i="27"/>
  <c r="V82" i="27" s="1"/>
  <c r="T81" i="27"/>
  <c r="V81" i="27" s="1"/>
  <c r="W81" i="27" s="1"/>
  <c r="X81" i="27" s="1"/>
  <c r="Y81" i="27" s="1"/>
  <c r="O81" i="27"/>
  <c r="P81" i="27" s="1"/>
  <c r="T80" i="27"/>
  <c r="S80" i="27"/>
  <c r="R80" i="27"/>
  <c r="H80" i="27"/>
  <c r="T79" i="27"/>
  <c r="S79" i="27"/>
  <c r="R79" i="27"/>
  <c r="H79" i="27"/>
  <c r="T78" i="27"/>
  <c r="S78" i="27"/>
  <c r="R78" i="27"/>
  <c r="H78" i="27"/>
  <c r="T77" i="27"/>
  <c r="U77" i="27" s="1"/>
  <c r="S77" i="27"/>
  <c r="R77" i="27"/>
  <c r="H77" i="27"/>
  <c r="N76" i="27"/>
  <c r="V76" i="27" s="1"/>
  <c r="H76" i="27"/>
  <c r="T75" i="27"/>
  <c r="S75" i="27"/>
  <c r="R75" i="27"/>
  <c r="H75" i="27"/>
  <c r="T74" i="27"/>
  <c r="S74" i="27"/>
  <c r="R74" i="27"/>
  <c r="H74" i="27"/>
  <c r="T73" i="27"/>
  <c r="S73" i="27"/>
  <c r="R73" i="27"/>
  <c r="H73" i="27"/>
  <c r="T72" i="27"/>
  <c r="S72" i="27"/>
  <c r="R72" i="27"/>
  <c r="H72" i="27"/>
  <c r="N71" i="27"/>
  <c r="V71" i="27" s="1"/>
  <c r="H71" i="27"/>
  <c r="T70" i="27"/>
  <c r="S70" i="27"/>
  <c r="R70" i="27"/>
  <c r="H70" i="27"/>
  <c r="T69" i="27"/>
  <c r="S69" i="27"/>
  <c r="R69" i="27"/>
  <c r="H69" i="27"/>
  <c r="T68" i="27"/>
  <c r="S68" i="27"/>
  <c r="R68" i="27"/>
  <c r="H68" i="27"/>
  <c r="T67" i="27"/>
  <c r="U67" i="27" s="1"/>
  <c r="S67" i="27"/>
  <c r="R67" i="27"/>
  <c r="H67" i="27"/>
  <c r="N66" i="27"/>
  <c r="V66" i="27" s="1"/>
  <c r="H66" i="27"/>
  <c r="T65" i="27"/>
  <c r="S65" i="27"/>
  <c r="R65" i="27"/>
  <c r="H65" i="27"/>
  <c r="T64" i="27"/>
  <c r="S64" i="27"/>
  <c r="R64" i="27"/>
  <c r="H64" i="27"/>
  <c r="T63" i="27"/>
  <c r="S63" i="27"/>
  <c r="R63" i="27"/>
  <c r="H63" i="27"/>
  <c r="T62" i="27"/>
  <c r="S62" i="27"/>
  <c r="R62" i="27"/>
  <c r="H62" i="27"/>
  <c r="T61" i="27"/>
  <c r="U61" i="27" s="1"/>
  <c r="S61" i="27"/>
  <c r="R61" i="27"/>
  <c r="H61" i="27"/>
  <c r="N60" i="27"/>
  <c r="V60" i="27" s="1"/>
  <c r="T59" i="27"/>
  <c r="S59" i="27"/>
  <c r="R59" i="27"/>
  <c r="H59" i="27"/>
  <c r="T58" i="27"/>
  <c r="S58" i="27"/>
  <c r="R58" i="27"/>
  <c r="H58" i="27"/>
  <c r="T57" i="27"/>
  <c r="S57" i="27"/>
  <c r="R57" i="27"/>
  <c r="H57" i="27"/>
  <c r="T56" i="27"/>
  <c r="S56" i="27"/>
  <c r="R56" i="27"/>
  <c r="H56" i="27"/>
  <c r="T55" i="27"/>
  <c r="U55" i="27" s="1"/>
  <c r="S55" i="27"/>
  <c r="R55" i="27"/>
  <c r="H55" i="27"/>
  <c r="N54" i="27"/>
  <c r="V54" i="27" s="1"/>
  <c r="T53" i="27"/>
  <c r="S53" i="27"/>
  <c r="R53" i="27"/>
  <c r="H53" i="27"/>
  <c r="T52" i="27"/>
  <c r="S52" i="27"/>
  <c r="R52" i="27"/>
  <c r="H52" i="27"/>
  <c r="T51" i="27"/>
  <c r="S51" i="27"/>
  <c r="R51" i="27"/>
  <c r="H51" i="27"/>
  <c r="T50" i="27"/>
  <c r="U50" i="27" s="1"/>
  <c r="S50" i="27"/>
  <c r="R50" i="27"/>
  <c r="H50" i="27"/>
  <c r="N49" i="27"/>
  <c r="V49" i="27" s="1"/>
  <c r="T48" i="27"/>
  <c r="S48" i="27"/>
  <c r="R48" i="27"/>
  <c r="H48" i="27"/>
  <c r="T47" i="27"/>
  <c r="S47" i="27"/>
  <c r="R47" i="27"/>
  <c r="H47" i="27"/>
  <c r="T46" i="27"/>
  <c r="S46" i="27"/>
  <c r="R46" i="27"/>
  <c r="H46" i="27"/>
  <c r="T45" i="27"/>
  <c r="S45" i="27"/>
  <c r="R45" i="27"/>
  <c r="H45" i="27"/>
  <c r="T44" i="27"/>
  <c r="U44" i="27" s="1"/>
  <c r="S44" i="27"/>
  <c r="R44" i="27"/>
  <c r="H44" i="27"/>
  <c r="N43" i="27"/>
  <c r="V43" i="27" s="1"/>
  <c r="T42" i="27"/>
  <c r="S42" i="27"/>
  <c r="R42" i="27"/>
  <c r="H42" i="27"/>
  <c r="T41" i="27"/>
  <c r="S41" i="27"/>
  <c r="R41" i="27"/>
  <c r="H41" i="27"/>
  <c r="T40" i="27"/>
  <c r="S40" i="27"/>
  <c r="R40" i="27"/>
  <c r="H40" i="27"/>
  <c r="T39" i="27"/>
  <c r="U39" i="27" s="1"/>
  <c r="S39" i="27"/>
  <c r="R39" i="27"/>
  <c r="H39" i="27"/>
  <c r="V38" i="27"/>
  <c r="T37" i="27"/>
  <c r="S37" i="27"/>
  <c r="R37" i="27"/>
  <c r="H37" i="27"/>
  <c r="T36" i="27"/>
  <c r="S36" i="27"/>
  <c r="R36" i="27"/>
  <c r="H36" i="27"/>
  <c r="T35" i="27"/>
  <c r="S35" i="27"/>
  <c r="R35" i="27"/>
  <c r="H35" i="27"/>
  <c r="T34" i="27"/>
  <c r="U34" i="27" s="1"/>
  <c r="S34" i="27"/>
  <c r="R34" i="27"/>
  <c r="H34" i="27"/>
  <c r="N33" i="27"/>
  <c r="V33" i="27" s="1"/>
  <c r="T32" i="27"/>
  <c r="S32" i="27"/>
  <c r="R32" i="27"/>
  <c r="H32" i="27"/>
  <c r="T31" i="27"/>
  <c r="S31" i="27"/>
  <c r="R31" i="27"/>
  <c r="H31" i="27"/>
  <c r="T30" i="27"/>
  <c r="S30" i="27"/>
  <c r="R30" i="27"/>
  <c r="H30" i="27"/>
  <c r="T29" i="27"/>
  <c r="U29" i="27" s="1"/>
  <c r="S29" i="27"/>
  <c r="R29" i="27"/>
  <c r="H29" i="27"/>
  <c r="V28" i="27"/>
  <c r="T27" i="27"/>
  <c r="S27" i="27"/>
  <c r="R27" i="27"/>
  <c r="H27" i="27"/>
  <c r="T26" i="27"/>
  <c r="S26" i="27"/>
  <c r="R26" i="27"/>
  <c r="H26" i="27"/>
  <c r="T25" i="27"/>
  <c r="S25" i="27"/>
  <c r="R25" i="27"/>
  <c r="H25" i="27"/>
  <c r="T24" i="27"/>
  <c r="S24" i="27"/>
  <c r="R24" i="27"/>
  <c r="H24" i="27"/>
  <c r="T23" i="27"/>
  <c r="S23" i="27"/>
  <c r="R23" i="27"/>
  <c r="H23" i="27"/>
  <c r="N22" i="27"/>
  <c r="V22" i="27" s="1"/>
  <c r="T21" i="27"/>
  <c r="S21" i="27"/>
  <c r="R21" i="27"/>
  <c r="H21" i="27"/>
  <c r="T20" i="27"/>
  <c r="S20" i="27"/>
  <c r="R20" i="27"/>
  <c r="H20" i="27"/>
  <c r="T19" i="27"/>
  <c r="S19" i="27"/>
  <c r="R19" i="27"/>
  <c r="H19" i="27"/>
  <c r="T18" i="27"/>
  <c r="S18" i="27"/>
  <c r="R18" i="27"/>
  <c r="H18" i="27"/>
  <c r="T17" i="27"/>
  <c r="U17" i="27" s="1"/>
  <c r="S17" i="27"/>
  <c r="R17" i="27"/>
  <c r="H17" i="27"/>
  <c r="N16" i="27"/>
  <c r="V16" i="27" s="1"/>
  <c r="T15" i="27"/>
  <c r="S15" i="27"/>
  <c r="R15" i="27"/>
  <c r="H15" i="27"/>
  <c r="T14" i="27"/>
  <c r="S14" i="27"/>
  <c r="R14" i="27"/>
  <c r="H14" i="27"/>
  <c r="T13" i="27"/>
  <c r="U13" i="27" s="1"/>
  <c r="S13" i="27"/>
  <c r="R13" i="27"/>
  <c r="H13" i="27"/>
  <c r="N12" i="27"/>
  <c r="V12" i="27" s="1"/>
  <c r="T11" i="27"/>
  <c r="S11" i="27"/>
  <c r="R11" i="27"/>
  <c r="H11" i="27"/>
  <c r="T10" i="27"/>
  <c r="S10" i="27"/>
  <c r="R10" i="27"/>
  <c r="H10" i="27"/>
  <c r="T9" i="27"/>
  <c r="S9" i="27"/>
  <c r="R9" i="27"/>
  <c r="H9" i="27"/>
  <c r="T8" i="27"/>
  <c r="S8" i="27"/>
  <c r="R8" i="27"/>
  <c r="H8" i="27"/>
  <c r="N7" i="27"/>
  <c r="V7" i="27" s="1"/>
  <c r="H7" i="27"/>
  <c r="T6" i="27"/>
  <c r="S6" i="27"/>
  <c r="R6" i="27"/>
  <c r="H6" i="27"/>
  <c r="T5" i="27"/>
  <c r="S5" i="27"/>
  <c r="R5" i="27"/>
  <c r="H5" i="27"/>
  <c r="T4" i="27"/>
  <c r="U4" i="27" s="1"/>
  <c r="S4" i="27"/>
  <c r="R4" i="27"/>
  <c r="H4" i="27"/>
  <c r="N3" i="27"/>
  <c r="V3" i="27" s="1"/>
  <c r="T2" i="27"/>
  <c r="V2" i="27" s="1"/>
  <c r="W2" i="27" s="1"/>
  <c r="X2" i="27" s="1"/>
  <c r="Y2" i="27" s="1"/>
  <c r="U51" i="27" l="1"/>
  <c r="U45" i="27"/>
  <c r="U46" i="27" s="1"/>
  <c r="U47" i="27" s="1"/>
  <c r="U30" i="27"/>
  <c r="U31" i="27" s="1"/>
  <c r="U32" i="27" s="1"/>
  <c r="U62" i="27"/>
  <c r="U63" i="27" s="1"/>
  <c r="U64" i="27" s="1"/>
  <c r="U65" i="27" s="1"/>
  <c r="U106" i="27"/>
  <c r="U107" i="27" s="1"/>
  <c r="U108" i="27" s="1"/>
  <c r="U109" i="27" s="1"/>
  <c r="V109" i="27" s="1"/>
  <c r="T105" i="27"/>
  <c r="W105" i="27" s="1"/>
  <c r="Y105" i="27" s="1"/>
  <c r="U56" i="27"/>
  <c r="U57" i="27" s="1"/>
  <c r="U58" i="27" s="1"/>
  <c r="U59" i="27" s="1"/>
  <c r="U18" i="27"/>
  <c r="U19" i="27" s="1"/>
  <c r="U20" i="27" s="1"/>
  <c r="U21" i="27" s="1"/>
  <c r="U40" i="27"/>
  <c r="U41" i="27" s="1"/>
  <c r="U42" i="27" s="1"/>
  <c r="U94" i="27"/>
  <c r="U95" i="27" s="1"/>
  <c r="U96" i="27" s="1"/>
  <c r="U97" i="27" s="1"/>
  <c r="U52" i="27"/>
  <c r="U53" i="27" s="1"/>
  <c r="T22" i="27"/>
  <c r="W22" i="27" s="1"/>
  <c r="Y22" i="27" s="1"/>
  <c r="U35" i="27"/>
  <c r="U36" i="27" s="1"/>
  <c r="U37" i="27" s="1"/>
  <c r="U78" i="27"/>
  <c r="U79" i="27" s="1"/>
  <c r="U80" i="27" s="1"/>
  <c r="T49" i="27"/>
  <c r="W49" i="27" s="1"/>
  <c r="Y49" i="27" s="1"/>
  <c r="U89" i="27"/>
  <c r="U14" i="27"/>
  <c r="U15" i="27" s="1"/>
  <c r="T54" i="27"/>
  <c r="W54" i="27" s="1"/>
  <c r="Y54" i="27" s="1"/>
  <c r="T66" i="27"/>
  <c r="W66" i="27" s="1"/>
  <c r="Y66" i="27" s="1"/>
  <c r="T28" i="27"/>
  <c r="W28" i="27" s="1"/>
  <c r="Y28" i="27" s="1"/>
  <c r="T33" i="27"/>
  <c r="T38" i="27"/>
  <c r="W38" i="27" s="1"/>
  <c r="Y38" i="27" s="1"/>
  <c r="T43" i="27"/>
  <c r="W43" i="27" s="1"/>
  <c r="Y43" i="27" s="1"/>
  <c r="T60" i="27"/>
  <c r="W60" i="27" s="1"/>
  <c r="Y60" i="27" s="1"/>
  <c r="R103" i="27"/>
  <c r="T7" i="27"/>
  <c r="W7" i="27" s="1"/>
  <c r="Y7" i="27" s="1"/>
  <c r="U8" i="27"/>
  <c r="U9" i="27" s="1"/>
  <c r="U10" i="27" s="1"/>
  <c r="U11" i="27" s="1"/>
  <c r="R86" i="27"/>
  <c r="T86" i="27"/>
  <c r="U5" i="27"/>
  <c r="U6" i="27" s="1"/>
  <c r="T3" i="27"/>
  <c r="W3" i="27" s="1"/>
  <c r="Y3" i="27" s="1"/>
  <c r="R84" i="27"/>
  <c r="T84" i="27"/>
  <c r="U101" i="27"/>
  <c r="U102" i="27" s="1"/>
  <c r="U103" i="27" s="1"/>
  <c r="U104" i="27" s="1"/>
  <c r="T99" i="27"/>
  <c r="W99" i="27" s="1"/>
  <c r="Y99" i="27" s="1"/>
  <c r="R90" i="27"/>
  <c r="T90" i="27"/>
  <c r="T76" i="27"/>
  <c r="W76" i="27" s="1"/>
  <c r="Y76" i="27" s="1"/>
  <c r="U23" i="27"/>
  <c r="U24" i="27" s="1"/>
  <c r="U25" i="27" s="1"/>
  <c r="U26" i="27" s="1"/>
  <c r="U27" i="27" s="1"/>
  <c r="U68" i="27"/>
  <c r="U69" i="27" s="1"/>
  <c r="U70" i="27" s="1"/>
  <c r="R104" i="27"/>
  <c r="T12" i="27"/>
  <c r="W12" i="27" s="1"/>
  <c r="Y12" i="27" s="1"/>
  <c r="T16" i="27"/>
  <c r="W16" i="27" s="1"/>
  <c r="Y16" i="27" s="1"/>
  <c r="U48" i="27"/>
  <c r="T71" i="27"/>
  <c r="W71" i="27" s="1"/>
  <c r="Y71" i="27" s="1"/>
  <c r="T98" i="27"/>
  <c r="U72" i="27"/>
  <c r="U73" i="27" s="1"/>
  <c r="U74" i="27" s="1"/>
  <c r="U75" i="27" s="1"/>
  <c r="R101" i="27"/>
  <c r="T91" i="27"/>
  <c r="U98" i="27" l="1"/>
  <c r="V37" i="27"/>
  <c r="V53" i="27"/>
  <c r="V48" i="27"/>
  <c r="V21" i="27"/>
  <c r="V11" i="27"/>
  <c r="V75" i="27"/>
  <c r="V42" i="27"/>
  <c r="U90" i="27"/>
  <c r="U91" i="27" s="1"/>
  <c r="V6" i="27"/>
  <c r="T92" i="27"/>
  <c r="W92" i="27" s="1"/>
  <c r="Y92" i="27" s="1"/>
  <c r="W33" i="27"/>
  <c r="Y33" i="27" s="1"/>
  <c r="V27" i="27"/>
  <c r="V65" i="27"/>
  <c r="V59" i="27"/>
  <c r="T87" i="27"/>
  <c r="W87" i="27" s="1"/>
  <c r="Y87" i="27" s="1"/>
  <c r="V80" i="27"/>
  <c r="V70" i="27"/>
  <c r="V32" i="27"/>
  <c r="V15" i="27"/>
  <c r="T82" i="27"/>
  <c r="W82" i="27" s="1"/>
  <c r="Y82" i="27" s="1"/>
  <c r="U84" i="27"/>
  <c r="U85" i="27" s="1"/>
  <c r="U86" i="27" s="1"/>
  <c r="V104" i="27"/>
  <c r="E74" i="27"/>
  <c r="F9" i="27"/>
  <c r="E6" i="27"/>
  <c r="F70" i="27"/>
  <c r="G107" i="27"/>
  <c r="G61" i="27"/>
  <c r="E11" i="27"/>
  <c r="G45" i="27"/>
  <c r="G52" i="27"/>
  <c r="E5" i="27"/>
  <c r="G6" i="27"/>
  <c r="G68" i="27"/>
  <c r="G27" i="27"/>
  <c r="F100" i="27"/>
  <c r="F95" i="27"/>
  <c r="G44" i="27"/>
  <c r="F6" i="27"/>
  <c r="E109" i="27"/>
  <c r="F26" i="27"/>
  <c r="F101" i="27"/>
  <c r="F27" i="27"/>
  <c r="G46" i="27"/>
  <c r="F89" i="27"/>
  <c r="E62" i="27"/>
  <c r="E45" i="27"/>
  <c r="F97" i="27"/>
  <c r="F17" i="27"/>
  <c r="E106" i="27"/>
  <c r="E35" i="27"/>
  <c r="F8" i="27"/>
  <c r="G64" i="27"/>
  <c r="F37" i="27"/>
  <c r="E53" i="27"/>
  <c r="F35" i="27"/>
  <c r="F104" i="27"/>
  <c r="G109" i="27"/>
  <c r="G104" i="27"/>
  <c r="E58" i="27"/>
  <c r="F24" i="27"/>
  <c r="G90" i="27"/>
  <c r="G57" i="27"/>
  <c r="E52" i="27"/>
  <c r="E100" i="27"/>
  <c r="F15" i="27"/>
  <c r="F73" i="27"/>
  <c r="G53" i="27"/>
  <c r="E72" i="27"/>
  <c r="G19" i="27"/>
  <c r="E88" i="27"/>
  <c r="F109" i="27"/>
  <c r="F58" i="27"/>
  <c r="F88" i="27"/>
  <c r="F14" i="27"/>
  <c r="G103" i="27"/>
  <c r="G72" i="27"/>
  <c r="G63" i="27"/>
  <c r="E36" i="27"/>
  <c r="F18" i="27"/>
  <c r="F102" i="27"/>
  <c r="G41" i="27"/>
  <c r="E18" i="27"/>
  <c r="F62" i="27"/>
  <c r="E73" i="27"/>
  <c r="E24" i="27"/>
  <c r="E67" i="27"/>
  <c r="E75" i="27"/>
  <c r="E95" i="27"/>
  <c r="F75" i="27"/>
  <c r="E63" i="27"/>
  <c r="F57" i="27"/>
  <c r="E46" i="27"/>
  <c r="F47" i="27"/>
  <c r="G70" i="27"/>
  <c r="G47" i="27"/>
  <c r="F108" i="27"/>
  <c r="F21" i="27"/>
  <c r="F90" i="27"/>
  <c r="F86" i="27"/>
  <c r="G37" i="27"/>
  <c r="G11" i="27"/>
  <c r="G98" i="27"/>
  <c r="F72" i="27"/>
  <c r="G48" i="27"/>
  <c r="F96" i="27"/>
  <c r="G78" i="27"/>
  <c r="F30" i="27"/>
  <c r="F11" i="27"/>
  <c r="G75" i="27"/>
  <c r="F107" i="27"/>
  <c r="E39" i="27"/>
  <c r="F20" i="27"/>
  <c r="G83" i="27"/>
  <c r="E93" i="27"/>
  <c r="F98" i="27"/>
  <c r="G86" i="27"/>
  <c r="G67" i="27"/>
  <c r="G77" i="27"/>
  <c r="G58" i="27"/>
  <c r="G25" i="27"/>
  <c r="G34" i="27"/>
  <c r="G36" i="27"/>
  <c r="F42" i="27"/>
  <c r="E91" i="27"/>
  <c r="F13" i="27"/>
  <c r="F25" i="27"/>
  <c r="E104" i="27"/>
  <c r="E31" i="27"/>
  <c r="F106" i="27"/>
  <c r="G23" i="27"/>
  <c r="E14" i="27"/>
  <c r="F50" i="27"/>
  <c r="F19" i="27"/>
  <c r="E68" i="27"/>
  <c r="F83" i="27"/>
  <c r="G89" i="27"/>
  <c r="F53" i="27"/>
  <c r="E26" i="27"/>
  <c r="F31" i="27"/>
  <c r="G85" i="27"/>
  <c r="G106" i="27"/>
  <c r="G9" i="27"/>
  <c r="E37" i="27"/>
  <c r="G62" i="27"/>
  <c r="G18" i="27"/>
  <c r="G26" i="27"/>
  <c r="G80" i="27"/>
  <c r="F94" i="27"/>
  <c r="G15" i="27"/>
  <c r="F45" i="27"/>
  <c r="F93" i="27"/>
  <c r="G56" i="27"/>
  <c r="E20" i="27"/>
  <c r="E4" i="27"/>
  <c r="F103" i="27"/>
  <c r="G94" i="27"/>
  <c r="E34" i="27"/>
  <c r="G101" i="27"/>
  <c r="G42" i="27"/>
  <c r="F46" i="27"/>
  <c r="E57" i="27"/>
  <c r="E97" i="27"/>
  <c r="G93" i="27"/>
  <c r="E19" i="27"/>
  <c r="E101" i="27"/>
  <c r="G31" i="27"/>
  <c r="E94" i="27"/>
  <c r="F29" i="27"/>
  <c r="E89" i="27"/>
  <c r="G108" i="27"/>
  <c r="F84" i="27"/>
  <c r="E65" i="27"/>
  <c r="G51" i="27"/>
  <c r="F63" i="27"/>
  <c r="F55" i="27"/>
  <c r="G4" i="27"/>
  <c r="G73" i="27"/>
  <c r="E50" i="27"/>
  <c r="G14" i="27"/>
  <c r="E47" i="27"/>
  <c r="E83" i="27"/>
  <c r="E61" i="27"/>
  <c r="E103" i="27"/>
  <c r="E56" i="27"/>
  <c r="E13" i="27"/>
  <c r="F23" i="27"/>
  <c r="F64" i="27"/>
  <c r="G8" i="27"/>
  <c r="G88" i="27"/>
  <c r="E96" i="27"/>
  <c r="E27" i="27"/>
  <c r="E15" i="27"/>
  <c r="F61" i="27"/>
  <c r="E59" i="27"/>
  <c r="E64" i="27"/>
  <c r="F65" i="27"/>
  <c r="F5" i="27"/>
  <c r="G30" i="27"/>
  <c r="G13" i="27"/>
  <c r="F10" i="27"/>
  <c r="E86" i="27"/>
  <c r="F52" i="27"/>
  <c r="G79" i="27"/>
  <c r="E51" i="27"/>
  <c r="F91" i="27"/>
  <c r="E85" i="27"/>
  <c r="E98" i="27"/>
  <c r="E21" i="27"/>
  <c r="G29" i="27"/>
  <c r="E9" i="27"/>
  <c r="F51" i="27"/>
  <c r="G102" i="27"/>
  <c r="E70" i="27"/>
  <c r="G55" i="27"/>
  <c r="F36" i="27"/>
  <c r="E25" i="27"/>
  <c r="E107" i="27"/>
  <c r="E108" i="27"/>
  <c r="G95" i="27"/>
  <c r="G39" i="27"/>
  <c r="F40" i="27"/>
  <c r="G21" i="27"/>
  <c r="F34" i="27"/>
  <c r="F59" i="27"/>
  <c r="G20" i="27"/>
  <c r="E29" i="27"/>
  <c r="E30" i="27"/>
  <c r="G5" i="27"/>
  <c r="G96" i="27"/>
  <c r="G91" i="27"/>
  <c r="E42" i="27"/>
  <c r="E10" i="27"/>
  <c r="G65" i="27"/>
  <c r="F67" i="27"/>
  <c r="F32" i="27"/>
  <c r="F4" i="27"/>
  <c r="G35" i="27"/>
  <c r="F85" i="27"/>
  <c r="F39" i="27"/>
  <c r="E44" i="27"/>
  <c r="E23" i="27"/>
  <c r="E84" i="27"/>
  <c r="G50" i="27"/>
  <c r="G59" i="27"/>
  <c r="G10" i="27"/>
  <c r="G74" i="27"/>
  <c r="F74" i="27"/>
  <c r="E40" i="27"/>
  <c r="E17" i="27"/>
  <c r="G69" i="27"/>
  <c r="E32" i="27"/>
  <c r="E8" i="27"/>
  <c r="E90" i="27"/>
  <c r="F44" i="27"/>
  <c r="F56" i="27"/>
  <c r="G40" i="27"/>
  <c r="E41" i="27"/>
  <c r="E102" i="27"/>
  <c r="F69" i="27"/>
  <c r="F48" i="27"/>
  <c r="G97" i="27"/>
  <c r="F68" i="27"/>
  <c r="G17" i="27"/>
  <c r="G84" i="27"/>
  <c r="E48" i="27"/>
  <c r="G32" i="27"/>
  <c r="E55" i="27"/>
  <c r="E69" i="27"/>
  <c r="G24" i="27"/>
  <c r="F41" i="27"/>
  <c r="G100" i="27"/>
  <c r="V98" i="27" l="1"/>
  <c r="V86" i="27"/>
  <c r="V91" i="27"/>
</calcChain>
</file>

<file path=xl/comments1.xml><?xml version="1.0" encoding="utf-8"?>
<comments xmlns="http://schemas.openxmlformats.org/spreadsheetml/2006/main">
  <authors>
    <author>Author</author>
  </authors>
  <commentList>
    <comment ref="O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Stale price from (7/29)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Stale from prior month (7/29)
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Stale from prior month (7/29)</t>
        </r>
      </text>
    </comment>
  </commentList>
</comments>
</file>

<file path=xl/sharedStrings.xml><?xml version="1.0" encoding="utf-8"?>
<sst xmlns="http://schemas.openxmlformats.org/spreadsheetml/2006/main" count="377" uniqueCount="59">
  <si>
    <t>Rated Issuer Name</t>
  </si>
  <si>
    <t>Clean Price</t>
  </si>
  <si>
    <t>Rating</t>
  </si>
  <si>
    <t>NR</t>
  </si>
  <si>
    <t>Rating Spread</t>
  </si>
  <si>
    <t>CLO Post A Portfolio Discount Margin</t>
  </si>
  <si>
    <t>CLO Post BBB Portfolio Discount Margin</t>
  </si>
  <si>
    <t>CLO Post BB Portfolio Discount Margin</t>
  </si>
  <si>
    <t>Spread</t>
  </si>
  <si>
    <t>Date</t>
  </si>
  <si>
    <t>CLO Post AAA Portfolio Discount Margin</t>
  </si>
  <si>
    <t>CLO Post AA Portfolio Discount Margin</t>
  </si>
  <si>
    <t>CLO Post B Portfolio Discount Margin</t>
  </si>
  <si>
    <t>A2</t>
  </si>
  <si>
    <t>Aa2</t>
  </si>
  <si>
    <t>Baa3</t>
  </si>
  <si>
    <t>Ba3</t>
  </si>
  <si>
    <t>CUSIP</t>
  </si>
  <si>
    <t>Aa1</t>
  </si>
  <si>
    <t>Pricing Source</t>
  </si>
  <si>
    <t>JPM Pricing Direct</t>
  </si>
  <si>
    <t>10% Yield</t>
  </si>
  <si>
    <t>CLO Pre AAA Portfolio Discount Margin</t>
  </si>
  <si>
    <t>CLO Pre AA Portfolio Discount Margin</t>
  </si>
  <si>
    <t>CLO Pre A Portfolio Discount Margin</t>
  </si>
  <si>
    <t>CLO Pre BBB Portfolio Discount Margin</t>
  </si>
  <si>
    <t>CLO Pre BB Portfolio Discount Margin</t>
  </si>
  <si>
    <t>CLO Pre B Portfolio Discount Margin</t>
  </si>
  <si>
    <t>RTG_MOODY</t>
  </si>
  <si>
    <t>RTG_SP</t>
  </si>
  <si>
    <t>RTG_FITCH</t>
  </si>
  <si>
    <t>SB %</t>
  </si>
  <si>
    <t>SB % Clean</t>
  </si>
  <si>
    <t>SB Original</t>
  </si>
  <si>
    <t>Par</t>
  </si>
  <si>
    <t>Price</t>
  </si>
  <si>
    <t>Aaa</t>
  </si>
  <si>
    <t>Moody's Rating</t>
  </si>
  <si>
    <t>S&amp;P rating</t>
  </si>
  <si>
    <t>Fitch Rating</t>
  </si>
  <si>
    <t>Ba2</t>
  </si>
  <si>
    <t>Broker Quote</t>
  </si>
  <si>
    <t>Broker</t>
  </si>
  <si>
    <t>Alternative Price Source</t>
  </si>
  <si>
    <t>Broker Quote - Credit Suisse</t>
  </si>
  <si>
    <t>Broker Quote - Mitsubishi UFJ</t>
  </si>
  <si>
    <t>Broker Quote - Barclays</t>
  </si>
  <si>
    <t>Broker Quote - Morgan Stanley</t>
  </si>
  <si>
    <t>CITI</t>
  </si>
  <si>
    <t>Broker Quote - CITI</t>
  </si>
  <si>
    <t>Mizuho</t>
  </si>
  <si>
    <t>Broker Quote - Mizuho</t>
  </si>
  <si>
    <t>Alt Price</t>
  </si>
  <si>
    <t>Price Override (Y/N)?</t>
  </si>
  <si>
    <t>Secured CLO Name</t>
  </si>
  <si>
    <t>Original Par Amount</t>
  </si>
  <si>
    <t>Market Value</t>
  </si>
  <si>
    <t>Caprok</t>
  </si>
  <si>
    <t>Acct 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</si>
</sst>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%"/>
    <numFmt numFmtId="165" formatCode="_(* #,##0_);_(* \(#,##0\);_(* &quot;-&quot;??_);_(@_)"/>
    <numFmt numFmtId="166" formatCode="mm/dd/yy;@"/>
    <numFmt numFmtId="167" formatCode="_(* #,##0.000_);_(* \(#,##0.000\);_(* &quot;-&quot;??_);_(@_)"/>
    <numFmt numFmtId="171" formatCode="#,##0.000_);\(#,##0.000\)"/>
    <numFmt numFmtId="172" formatCode="_(* #,##0.0000_);_(* \(#,##0.0000\);_(* &quot;-&quot;??_);_(@_)"/>
    <numFmt numFmtId="174" formatCode="0.0000000"/>
    <numFmt numFmtId="176" formatCode="_(* #,##0.0000000_);_(* \(#,##0.0000000\);_(* &quot;-&quot;??_);_(@_)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sz val="11"/>
      <color rgb="FF7030A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416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6" fillId="0" borderId="0" applyNumberFormat="0" applyFill="0" applyBorder="0" applyAlignment="0" applyProtection="0"/>
    <xf numFmtId="0" fontId="7" fillId="0" borderId="8" applyNumberFormat="0" applyFill="0" applyAlignment="0" applyProtection="0"/>
    <xf numFmtId="0" fontId="8" fillId="0" borderId="9" applyNumberFormat="0" applyFill="0" applyAlignment="0" applyProtection="0"/>
    <xf numFmtId="0" fontId="9" fillId="0" borderId="10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11" applyNumberFormat="0" applyAlignment="0" applyProtection="0"/>
    <xf numFmtId="0" fontId="14" fillId="7" borderId="12" applyNumberFormat="0" applyAlignment="0" applyProtection="0"/>
    <xf numFmtId="0" fontId="15" fillId="7" borderId="11" applyNumberFormat="0" applyAlignment="0" applyProtection="0"/>
    <xf numFmtId="0" fontId="16" fillId="0" borderId="13" applyNumberFormat="0" applyFill="0" applyAlignment="0" applyProtection="0"/>
    <xf numFmtId="0" fontId="17" fillId="8" borderId="14" applyNumberFormat="0" applyAlignment="0" applyProtection="0"/>
    <xf numFmtId="0" fontId="18" fillId="0" borderId="0" applyNumberFormat="0" applyFill="0" applyBorder="0" applyAlignment="0" applyProtection="0"/>
    <xf numFmtId="0" fontId="1" fillId="9" borderId="15" applyNumberFormat="0" applyFont="0" applyAlignment="0" applyProtection="0"/>
    <xf numFmtId="0" fontId="19" fillId="0" borderId="0" applyNumberFormat="0" applyFill="0" applyBorder="0" applyAlignment="0" applyProtection="0"/>
    <xf numFmtId="0" fontId="2" fillId="0" borderId="16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</cellStyleXfs>
  <cellXfs count="120">
    <xf numFmtId="0" fontId="0" fillId="0" borderId="0" xfId="0"/>
    <xf numFmtId="165" fontId="0" fillId="0" borderId="3" xfId="1" applyNumberFormat="1" applyFont="1" applyBorder="1"/>
    <xf numFmtId="166" fontId="0" fillId="0" borderId="0" xfId="0" applyNumberFormat="1" applyBorder="1"/>
    <xf numFmtId="165" fontId="2" fillId="0" borderId="7" xfId="1" applyNumberFormat="1" applyFont="1" applyBorder="1"/>
    <xf numFmtId="0" fontId="0" fillId="0" borderId="4" xfId="0" applyBorder="1"/>
    <xf numFmtId="0" fontId="0" fillId="0" borderId="0" xfId="0"/>
    <xf numFmtId="0" fontId="0" fillId="0" borderId="0" xfId="0" applyNumberFormat="1" applyBorder="1"/>
    <xf numFmtId="0" fontId="0" fillId="0" borderId="0" xfId="0" applyNumberFormat="1"/>
    <xf numFmtId="0" fontId="0" fillId="0" borderId="0" xfId="0" applyNumberFormat="1" applyFill="1"/>
    <xf numFmtId="0" fontId="0" fillId="0" borderId="0" xfId="0" applyNumberFormat="1" applyFill="1" applyBorder="1"/>
    <xf numFmtId="9" fontId="0" fillId="0" borderId="0" xfId="0" applyNumberFormat="1" applyFill="1" applyBorder="1"/>
    <xf numFmtId="9" fontId="0" fillId="0" borderId="4" xfId="0" applyNumberFormat="1" applyBorder="1"/>
    <xf numFmtId="0" fontId="0" fillId="0" borderId="0" xfId="0" applyAlignment="1">
      <alignment wrapText="1"/>
    </xf>
    <xf numFmtId="165" fontId="24" fillId="34" borderId="4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65" fontId="24" fillId="34" borderId="1" xfId="1" applyNumberFormat="1" applyFont="1" applyFill="1" applyBorder="1" applyAlignment="1">
      <alignment horizontal="center"/>
    </xf>
    <xf numFmtId="166" fontId="24" fillId="34" borderId="4" xfId="1" applyNumberFormat="1" applyFont="1" applyFill="1" applyBorder="1" applyAlignment="1">
      <alignment horizontal="center"/>
    </xf>
    <xf numFmtId="165" fontId="0" fillId="0" borderId="4" xfId="1" applyNumberFormat="1" applyFont="1" applyBorder="1" applyAlignment="1">
      <alignment horizontal="center"/>
    </xf>
    <xf numFmtId="0" fontId="24" fillId="34" borderId="1" xfId="1" applyNumberFormat="1" applyFont="1" applyFill="1" applyBorder="1" applyAlignment="1">
      <alignment horizontal="center"/>
    </xf>
    <xf numFmtId="165" fontId="24" fillId="34" borderId="2" xfId="1" applyNumberFormat="1" applyFont="1" applyFill="1" applyBorder="1" applyAlignment="1">
      <alignment horizontal="center"/>
    </xf>
    <xf numFmtId="0" fontId="24" fillId="34" borderId="4" xfId="1" applyNumberFormat="1" applyFont="1" applyFill="1" applyBorder="1" applyAlignment="1">
      <alignment horizontal="center"/>
    </xf>
    <xf numFmtId="9" fontId="22" fillId="0" borderId="0" xfId="2" applyFont="1" applyFill="1" applyBorder="1" applyAlignment="1">
      <alignment horizontal="center"/>
    </xf>
    <xf numFmtId="165" fontId="4" fillId="0" borderId="6" xfId="1" applyNumberFormat="1" applyFont="1" applyFill="1" applyBorder="1"/>
    <xf numFmtId="165" fontId="5" fillId="0" borderId="4" xfId="1" applyNumberFormat="1" applyFont="1" applyFill="1" applyBorder="1"/>
    <xf numFmtId="0" fontId="24" fillId="34" borderId="4" xfId="1" applyNumberFormat="1" applyFont="1" applyFill="1" applyBorder="1" applyAlignment="1">
      <alignment horizontal="center" wrapText="1"/>
    </xf>
    <xf numFmtId="0" fontId="0" fillId="0" borderId="0" xfId="0" applyBorder="1"/>
    <xf numFmtId="165" fontId="0" fillId="0" borderId="0" xfId="1" applyNumberFormat="1" applyFont="1" applyBorder="1"/>
    <xf numFmtId="165" fontId="0" fillId="0" borderId="4" xfId="1" applyNumberFormat="1" applyFont="1" applyBorder="1"/>
    <xf numFmtId="165" fontId="2" fillId="0" borderId="6" xfId="1" applyNumberFormat="1" applyFont="1" applyBorder="1"/>
    <xf numFmtId="166" fontId="0" fillId="0" borderId="0" xfId="1" applyNumberFormat="1" applyFont="1" applyBorder="1"/>
    <xf numFmtId="164" fontId="0" fillId="0" borderId="0" xfId="2" applyNumberFormat="1" applyFont="1" applyBorder="1"/>
    <xf numFmtId="165" fontId="0" fillId="0" borderId="5" xfId="1" applyNumberFormat="1" applyFont="1" applyBorder="1"/>
    <xf numFmtId="165" fontId="0" fillId="0" borderId="0" xfId="1" applyNumberFormat="1" applyFont="1" applyFill="1" applyBorder="1"/>
    <xf numFmtId="165" fontId="5" fillId="0" borderId="0" xfId="1" applyNumberFormat="1" applyFont="1" applyFill="1" applyBorder="1"/>
    <xf numFmtId="164" fontId="0" fillId="0" borderId="0" xfId="2" applyNumberFormat="1" applyFont="1" applyFill="1" applyBorder="1"/>
    <xf numFmtId="165" fontId="4" fillId="0" borderId="6" xfId="1" applyNumberFormat="1" applyFont="1" applyBorder="1"/>
    <xf numFmtId="0" fontId="0" fillId="0" borderId="0" xfId="1" applyNumberFormat="1" applyFont="1" applyFill="1" applyBorder="1"/>
    <xf numFmtId="165" fontId="2" fillId="0" borderId="6" xfId="1" applyNumberFormat="1" applyFont="1" applyFill="1" applyBorder="1"/>
    <xf numFmtId="0" fontId="2" fillId="0" borderId="6" xfId="1" applyNumberFormat="1" applyFont="1" applyFill="1" applyBorder="1"/>
    <xf numFmtId="165" fontId="0" fillId="0" borderId="4" xfId="1" applyNumberFormat="1" applyFont="1" applyFill="1" applyBorder="1"/>
    <xf numFmtId="165" fontId="2" fillId="0" borderId="6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4" fillId="2" borderId="6" xfId="1" applyNumberFormat="1" applyFont="1" applyFill="1" applyBorder="1"/>
    <xf numFmtId="10" fontId="21" fillId="0" borderId="6" xfId="2" applyNumberFormat="1" applyFont="1" applyFill="1" applyBorder="1" applyAlignment="1">
      <alignment horizontal="center"/>
    </xf>
    <xf numFmtId="165" fontId="5" fillId="0" borderId="0" xfId="1" applyNumberFormat="1" applyFont="1" applyBorder="1"/>
    <xf numFmtId="165" fontId="5" fillId="0" borderId="4" xfId="1" applyNumberFormat="1" applyFont="1" applyBorder="1"/>
    <xf numFmtId="167" fontId="2" fillId="0" borderId="20" xfId="1" applyNumberFormat="1" applyFont="1" applyFill="1" applyBorder="1"/>
    <xf numFmtId="165" fontId="17" fillId="34" borderId="0" xfId="1" applyNumberFormat="1" applyFont="1" applyFill="1" applyBorder="1" applyAlignment="1">
      <alignment horizontal="center" wrapText="1"/>
    </xf>
    <xf numFmtId="165" fontId="0" fillId="0" borderId="17" xfId="1" applyNumberFormat="1" applyFont="1" applyFill="1" applyBorder="1"/>
    <xf numFmtId="165" fontId="27" fillId="0" borderId="0" xfId="1" applyNumberFormat="1" applyFont="1" applyBorder="1" applyAlignment="1">
      <alignment horizontal="left"/>
    </xf>
    <xf numFmtId="165" fontId="28" fillId="0" borderId="6" xfId="1" applyNumberFormat="1" applyFont="1" applyFill="1" applyBorder="1" applyAlignment="1">
      <alignment horizontal="left"/>
    </xf>
    <xf numFmtId="165" fontId="27" fillId="0" borderId="4" xfId="1" applyNumberFormat="1" applyFont="1" applyBorder="1" applyAlignment="1">
      <alignment horizontal="left"/>
    </xf>
    <xf numFmtId="0" fontId="27" fillId="0" borderId="0" xfId="0" applyFont="1" applyBorder="1" applyAlignment="1">
      <alignment horizontal="left"/>
    </xf>
    <xf numFmtId="165" fontId="27" fillId="0" borderId="0" xfId="1" applyNumberFormat="1" applyFont="1" applyFill="1" applyBorder="1" applyAlignment="1">
      <alignment horizontal="left"/>
    </xf>
    <xf numFmtId="165" fontId="27" fillId="0" borderId="17" xfId="1" applyNumberFormat="1" applyFont="1" applyFill="1" applyBorder="1" applyAlignment="1">
      <alignment horizontal="left"/>
    </xf>
    <xf numFmtId="165" fontId="24" fillId="35" borderId="4" xfId="1" applyNumberFormat="1" applyFont="1" applyFill="1" applyBorder="1" applyAlignment="1">
      <alignment horizontal="center"/>
    </xf>
    <xf numFmtId="0" fontId="24" fillId="35" borderId="4" xfId="1" applyNumberFormat="1" applyFont="1" applyFill="1" applyBorder="1" applyAlignment="1">
      <alignment horizontal="center"/>
    </xf>
    <xf numFmtId="0" fontId="24" fillId="35" borderId="4" xfId="1" applyNumberFormat="1" applyFont="1" applyFill="1" applyBorder="1" applyAlignment="1">
      <alignment horizontal="center" wrapText="1"/>
    </xf>
    <xf numFmtId="166" fontId="24" fillId="35" borderId="4" xfId="1" applyNumberFormat="1" applyFont="1" applyFill="1" applyBorder="1" applyAlignment="1">
      <alignment horizontal="center"/>
    </xf>
    <xf numFmtId="49" fontId="2" fillId="0" borderId="6" xfId="1" applyNumberFormat="1" applyFont="1" applyFill="1" applyBorder="1"/>
    <xf numFmtId="49" fontId="0" fillId="0" borderId="0" xfId="1" applyNumberFormat="1" applyFont="1" applyFill="1" applyBorder="1"/>
    <xf numFmtId="49" fontId="24" fillId="34" borderId="1" xfId="1" applyNumberFormat="1" applyFont="1" applyFill="1" applyBorder="1" applyAlignment="1">
      <alignment horizontal="center"/>
    </xf>
    <xf numFmtId="49" fontId="24" fillId="34" borderId="4" xfId="1" applyNumberFormat="1" applyFont="1" applyFill="1" applyBorder="1" applyAlignment="1">
      <alignment horizontal="center"/>
    </xf>
    <xf numFmtId="49" fontId="0" fillId="0" borderId="0" xfId="1" applyNumberFormat="1" applyFont="1" applyBorder="1"/>
    <xf numFmtId="49" fontId="0" fillId="0" borderId="4" xfId="1" applyNumberFormat="1" applyFont="1" applyBorder="1"/>
    <xf numFmtId="49" fontId="24" fillId="35" borderId="4" xfId="1" applyNumberFormat="1" applyFont="1" applyFill="1" applyBorder="1" applyAlignment="1">
      <alignment horizontal="center"/>
    </xf>
    <xf numFmtId="49" fontId="0" fillId="0" borderId="0" xfId="0" applyNumberFormat="1" applyBorder="1"/>
    <xf numFmtId="14" fontId="5" fillId="2" borderId="22" xfId="1" applyNumberFormat="1" applyFont="1" applyFill="1" applyBorder="1"/>
    <xf numFmtId="0" fontId="25" fillId="34" borderId="0" xfId="0" applyNumberFormat="1" applyFont="1" applyFill="1" applyAlignment="1">
      <alignment wrapText="1"/>
    </xf>
    <xf numFmtId="14" fontId="0" fillId="0" borderId="0" xfId="0" applyNumberFormat="1"/>
    <xf numFmtId="9" fontId="5" fillId="0" borderId="0" xfId="1" applyNumberFormat="1" applyFont="1" applyFill="1" applyBorder="1" applyAlignment="1">
      <alignment horizontal="center"/>
    </xf>
    <xf numFmtId="0" fontId="26" fillId="0" borderId="0" xfId="1" applyNumberFormat="1" applyFont="1" applyFill="1" applyBorder="1" applyAlignment="1">
      <alignment horizontal="center"/>
    </xf>
    <xf numFmtId="0" fontId="2" fillId="0" borderId="6" xfId="1" applyNumberFormat="1" applyFont="1" applyFill="1" applyBorder="1" applyAlignment="1">
      <alignment horizontal="center"/>
    </xf>
    <xf numFmtId="9" fontId="5" fillId="0" borderId="0" xfId="0" applyNumberFormat="1" applyFont="1" applyFill="1" applyBorder="1" applyAlignment="1">
      <alignment horizontal="center"/>
    </xf>
    <xf numFmtId="9" fontId="5" fillId="0" borderId="4" xfId="0" applyNumberFormat="1" applyFont="1" applyBorder="1" applyAlignment="1">
      <alignment horizontal="center"/>
    </xf>
    <xf numFmtId="9" fontId="0" fillId="0" borderId="0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171" fontId="5" fillId="2" borderId="19" xfId="1" applyNumberFormat="1" applyFont="1" applyFill="1" applyBorder="1"/>
    <xf numFmtId="171" fontId="5" fillId="2" borderId="20" xfId="1" applyNumberFormat="1" applyFont="1" applyFill="1" applyBorder="1"/>
    <xf numFmtId="172" fontId="2" fillId="0" borderId="20" xfId="1" applyNumberFormat="1" applyFont="1" applyFill="1" applyBorder="1"/>
    <xf numFmtId="171" fontId="5" fillId="2" borderId="21" xfId="1" applyNumberFormat="1" applyFont="1" applyFill="1" applyBorder="1"/>
    <xf numFmtId="172" fontId="2" fillId="0" borderId="23" xfId="1" applyNumberFormat="1" applyFont="1" applyFill="1" applyBorder="1"/>
    <xf numFmtId="171" fontId="22" fillId="36" borderId="19" xfId="1" applyNumberFormat="1" applyFont="1" applyFill="1" applyBorder="1"/>
    <xf numFmtId="171" fontId="22" fillId="36" borderId="20" xfId="1" applyNumberFormat="1" applyFont="1" applyFill="1" applyBorder="1"/>
    <xf numFmtId="171" fontId="5" fillId="0" borderId="19" xfId="1" applyNumberFormat="1" applyFont="1" applyFill="1" applyBorder="1"/>
    <xf numFmtId="2" fontId="0" fillId="0" borderId="0" xfId="0" applyNumberFormat="1" applyBorder="1"/>
    <xf numFmtId="166" fontId="24" fillId="34" borderId="4" xfId="1" applyNumberFormat="1" applyFont="1" applyFill="1" applyBorder="1" applyAlignment="1">
      <alignment horizontal="center" wrapText="1"/>
    </xf>
    <xf numFmtId="166" fontId="24" fillId="35" borderId="4" xfId="1" applyNumberFormat="1" applyFont="1" applyFill="1" applyBorder="1" applyAlignment="1">
      <alignment horizontal="center" wrapText="1"/>
    </xf>
    <xf numFmtId="165" fontId="30" fillId="0" borderId="0" xfId="1" applyNumberFormat="1" applyFont="1" applyBorder="1"/>
    <xf numFmtId="9" fontId="30" fillId="0" borderId="0" xfId="2" applyFont="1" applyFill="1" applyBorder="1" applyAlignment="1">
      <alignment horizontal="center"/>
    </xf>
    <xf numFmtId="165" fontId="4" fillId="0" borderId="6" xfId="1" applyNumberFormat="1" applyFont="1" applyFill="1" applyBorder="1" applyAlignment="1">
      <alignment horizontal="center"/>
    </xf>
    <xf numFmtId="39" fontId="5" fillId="37" borderId="0" xfId="1" applyNumberFormat="1" applyFont="1" applyFill="1" applyBorder="1" applyAlignment="1">
      <alignment horizontal="center"/>
    </xf>
    <xf numFmtId="167" fontId="2" fillId="0" borderId="4" xfId="1" applyNumberFormat="1" applyFont="1" applyFill="1" applyBorder="1" applyAlignment="1">
      <alignment horizontal="center"/>
    </xf>
    <xf numFmtId="172" fontId="2" fillId="0" borderId="4" xfId="1" applyNumberFormat="1" applyFont="1" applyFill="1" applyBorder="1" applyAlignment="1">
      <alignment horizontal="center"/>
    </xf>
    <xf numFmtId="39" fontId="5" fillId="37" borderId="17" xfId="1" applyNumberFormat="1" applyFont="1" applyFill="1" applyBorder="1" applyAlignment="1">
      <alignment horizontal="center"/>
    </xf>
    <xf numFmtId="174" fontId="0" fillId="0" borderId="0" xfId="0" applyNumberFormat="1" applyBorder="1"/>
    <xf numFmtId="176" fontId="2" fillId="0" borderId="7" xfId="1" applyNumberFormat="1" applyFont="1" applyBorder="1"/>
    <xf numFmtId="176" fontId="0" fillId="0" borderId="3" xfId="1" applyNumberFormat="1" applyFont="1" applyBorder="1"/>
    <xf numFmtId="176" fontId="0" fillId="0" borderId="5" xfId="1" applyNumberFormat="1" applyFont="1" applyBorder="1"/>
    <xf numFmtId="165" fontId="21" fillId="0" borderId="6" xfId="1" applyNumberFormat="1" applyFont="1" applyFill="1" applyBorder="1" applyAlignment="1">
      <alignment horizontal="center"/>
    </xf>
    <xf numFmtId="176" fontId="0" fillId="0" borderId="0" xfId="1" applyNumberFormat="1" applyFont="1" applyBorder="1"/>
    <xf numFmtId="165" fontId="2" fillId="0" borderId="24" xfId="1" applyNumberFormat="1" applyFont="1" applyFill="1" applyBorder="1"/>
    <xf numFmtId="165" fontId="28" fillId="0" borderId="24" xfId="1" applyNumberFormat="1" applyFont="1" applyFill="1" applyBorder="1" applyAlignment="1">
      <alignment horizontal="left"/>
    </xf>
    <xf numFmtId="0" fontId="2" fillId="0" borderId="24" xfId="1" applyNumberFormat="1" applyFont="1" applyFill="1" applyBorder="1"/>
    <xf numFmtId="0" fontId="2" fillId="0" borderId="24" xfId="1" applyNumberFormat="1" applyFont="1" applyFill="1" applyBorder="1" applyAlignment="1">
      <alignment horizontal="center"/>
    </xf>
    <xf numFmtId="165" fontId="4" fillId="0" borderId="24" xfId="1" applyNumberFormat="1" applyFont="1" applyFill="1" applyBorder="1" applyAlignment="1">
      <alignment horizontal="center"/>
    </xf>
    <xf numFmtId="172" fontId="2" fillId="0" borderId="24" xfId="1" applyNumberFormat="1" applyFont="1" applyFill="1" applyBorder="1" applyAlignment="1">
      <alignment horizontal="center"/>
    </xf>
    <xf numFmtId="165" fontId="2" fillId="0" borderId="25" xfId="1" applyNumberFormat="1" applyFont="1" applyFill="1" applyBorder="1"/>
    <xf numFmtId="165" fontId="4" fillId="0" borderId="24" xfId="1" applyNumberFormat="1" applyFont="1" applyFill="1" applyBorder="1"/>
    <xf numFmtId="10" fontId="21" fillId="0" borderId="24" xfId="2" applyNumberFormat="1" applyFont="1" applyFill="1" applyBorder="1" applyAlignment="1">
      <alignment horizontal="center"/>
    </xf>
    <xf numFmtId="165" fontId="2" fillId="0" borderId="24" xfId="1" applyNumberFormat="1" applyFont="1" applyFill="1" applyBorder="1" applyAlignment="1">
      <alignment horizontal="center"/>
    </xf>
    <xf numFmtId="165" fontId="4" fillId="2" borderId="24" xfId="1" applyNumberFormat="1" applyFont="1" applyFill="1" applyBorder="1"/>
    <xf numFmtId="49" fontId="21" fillId="0" borderId="24" xfId="1" applyNumberFormat="1" applyFont="1" applyFill="1" applyBorder="1"/>
    <xf numFmtId="49" fontId="21" fillId="0" borderId="6" xfId="1" applyNumberFormat="1" applyFont="1" applyFill="1" applyBorder="1"/>
    <xf numFmtId="171" fontId="31" fillId="2" borderId="19" xfId="1" applyNumberFormat="1" applyFont="1" applyFill="1" applyBorder="1"/>
    <xf numFmtId="176" fontId="2" fillId="0" borderId="23" xfId="1" applyNumberFormat="1" applyFont="1" applyFill="1" applyBorder="1"/>
    <xf numFmtId="176" fontId="0" fillId="0" borderId="19" xfId="1" applyNumberFormat="1" applyFont="1" applyFill="1" applyBorder="1"/>
    <xf numFmtId="176" fontId="2" fillId="0" borderId="18" xfId="1" applyNumberFormat="1" applyFont="1" applyFill="1" applyBorder="1"/>
    <xf numFmtId="49" fontId="22" fillId="0" borderId="0" xfId="1" applyNumberFormat="1" applyFont="1" applyFill="1" applyBorder="1"/>
    <xf numFmtId="165" fontId="0" fillId="0" borderId="0" xfId="1" applyNumberFormat="1" applyFont="1" applyFill="1" applyBorder="1" applyAlignment="1">
      <alignment wrapText="1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/>
    <cellStyle name="Comma 2" xfId="4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11" xfId="5"/>
    <cellStyle name="Normal 2" xfId="3"/>
    <cellStyle name="Note" xfId="20" builtinId="10" customBuiltin="1"/>
    <cellStyle name="Output" xfId="15" builtinId="21" customBuiltin="1"/>
    <cellStyle name="Percent" xfId="2" builtinId="5"/>
    <cellStyle name="Title" xfId="6" builtinId="15" customBuiltin="1"/>
    <cellStyle name="Total" xfId="22" builtinId="25" customBuiltin="1"/>
    <cellStyle name="Warning Text" xfId="19" builtinId="11" customBuiltin="1"/>
  </cellStyles>
  <dxfs count="24"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</dxf>
    <dxf>
      <font>
        <color rgb="FFFF0000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autoPageBreaks="0"/>
  </sheetPr>
  <dimension ref="A1:AA116"/>
  <sheetViews>
    <sheetView tabSelected="1" zoomScale="85" zoomScaleNormal="85" workbookViewId="0">
      <pane ySplit="2" topLeftCell="A46" activePane="bottomLeft" state="frozen"/>
      <selection pane="bottomLeft"/>
    </sheetView>
  </sheetViews>
  <sheetFormatPr defaultColWidth="9.140625" defaultRowHeight="15" outlineLevelCol="1" x14ac:dyDescent="0.25"/>
  <cols>
    <col min="1" max="1" width="49.140625" style="25" hidden="1" customWidth="1" outlineLevel="1"/>
    <col min="2" max="2" width="66.140625" style="25" hidden="1" customWidth="1" outlineLevel="1"/>
    <col min="3" max="3" width="11.7109375" style="66" hidden="1" customWidth="1" outlineLevel="1"/>
    <col min="4" max="4" width="7" style="25" bestFit="1" customWidth="1" collapsed="1"/>
    <col min="5" max="5" width="14.28515625" style="25" customWidth="1"/>
    <col min="6" max="6" width="10.28515625" style="25" customWidth="1"/>
    <col min="7" max="7" width="11.7109375" style="25" customWidth="1"/>
    <col min="8" max="8" width="7.5703125" style="6" bestFit="1" customWidth="1"/>
    <col min="9" max="9" width="18.5703125" style="6" bestFit="1" customWidth="1"/>
    <col min="10" max="10" width="14.85546875" style="6" customWidth="1"/>
    <col min="11" max="11" width="25.7109375" style="6" customWidth="1"/>
    <col min="12" max="12" width="22" style="25" customWidth="1"/>
    <col min="13" max="13" width="10.28515625" style="25" customWidth="1"/>
    <col min="14" max="14" width="20.5703125" style="26" bestFit="1" customWidth="1"/>
    <col min="15" max="15" width="13.140625" style="29" customWidth="1"/>
    <col min="16" max="16" width="12.28515625" style="2" customWidth="1"/>
    <col min="17" max="17" width="8.85546875" style="30" bestFit="1" customWidth="1"/>
    <col min="18" max="18" width="7.42578125" style="30" bestFit="1" customWidth="1"/>
    <col min="19" max="19" width="17.140625" style="30" bestFit="1" customWidth="1"/>
    <col min="20" max="20" width="15.28515625" style="26" customWidth="1"/>
    <col min="21" max="21" width="12.5703125" style="25" customWidth="1"/>
    <col min="22" max="22" width="18.5703125" style="25" bestFit="1" customWidth="1"/>
    <col min="23" max="23" width="17.28515625" style="25" customWidth="1"/>
    <col min="24" max="24" width="18.5703125" style="14" bestFit="1" customWidth="1"/>
    <col min="25" max="25" width="18.42578125" style="25" customWidth="1"/>
    <col min="26" max="26" width="10.85546875" style="25" bestFit="1" customWidth="1"/>
    <col min="27" max="27" width="9.140625" style="5"/>
    <col min="28" max="30" width="9.140625" style="25"/>
    <col min="31" max="31" width="17.5703125" style="25" bestFit="1" customWidth="1"/>
    <col min="32" max="16384" width="9.140625" style="25"/>
  </cols>
  <sheetData>
    <row r="1" spans="1:27" s="14" customFormat="1" x14ac:dyDescent="0.25">
      <c r="A1" s="15"/>
      <c r="B1" s="15"/>
      <c r="C1" s="61"/>
      <c r="D1" s="15"/>
      <c r="E1" s="47" t="s">
        <v>28</v>
      </c>
      <c r="F1" s="47" t="s">
        <v>29</v>
      </c>
      <c r="G1" s="47" t="s">
        <v>30</v>
      </c>
      <c r="H1" s="18"/>
      <c r="I1" s="18"/>
      <c r="J1" s="18"/>
      <c r="K1" s="18"/>
      <c r="L1" s="15"/>
      <c r="M1" s="15"/>
      <c r="N1" s="15"/>
      <c r="O1" s="15" t="s">
        <v>35</v>
      </c>
      <c r="P1" s="15" t="s">
        <v>52</v>
      </c>
      <c r="Q1" s="15"/>
      <c r="R1" s="15"/>
      <c r="S1" s="15"/>
      <c r="T1" s="15" t="s">
        <v>56</v>
      </c>
      <c r="U1" s="15" t="s">
        <v>33</v>
      </c>
      <c r="V1" s="15" t="s">
        <v>31</v>
      </c>
      <c r="W1" s="15" t="s">
        <v>32</v>
      </c>
      <c r="X1" s="15" t="s">
        <v>58</v>
      </c>
      <c r="Y1" s="19" t="s">
        <v>1</v>
      </c>
      <c r="Z1" s="95"/>
    </row>
    <row r="2" spans="1:27" s="14" customFormat="1" ht="45" x14ac:dyDescent="0.25">
      <c r="A2" s="13" t="s">
        <v>54</v>
      </c>
      <c r="B2" s="13" t="s">
        <v>0</v>
      </c>
      <c r="C2" s="62" t="s">
        <v>17</v>
      </c>
      <c r="D2" s="20" t="s">
        <v>2</v>
      </c>
      <c r="E2" s="24" t="s">
        <v>37</v>
      </c>
      <c r="F2" s="24" t="s">
        <v>38</v>
      </c>
      <c r="G2" s="24" t="s">
        <v>39</v>
      </c>
      <c r="H2" s="13"/>
      <c r="I2" s="20" t="s">
        <v>19</v>
      </c>
      <c r="J2" s="20" t="s">
        <v>42</v>
      </c>
      <c r="K2" s="24" t="s">
        <v>43</v>
      </c>
      <c r="L2" s="13" t="s">
        <v>4</v>
      </c>
      <c r="M2" s="13" t="s">
        <v>8</v>
      </c>
      <c r="N2" s="13" t="s">
        <v>55</v>
      </c>
      <c r="O2" s="67">
        <v>42521</v>
      </c>
      <c r="P2" s="16">
        <v>42613</v>
      </c>
      <c r="Q2" s="86" t="s">
        <v>53</v>
      </c>
      <c r="R2" s="86"/>
      <c r="S2" s="86"/>
      <c r="T2" s="16">
        <f>O2</f>
        <v>42521</v>
      </c>
      <c r="U2" s="16" t="s">
        <v>34</v>
      </c>
      <c r="V2" s="16">
        <f>T2</f>
        <v>42521</v>
      </c>
      <c r="W2" s="16">
        <f>V2</f>
        <v>42521</v>
      </c>
      <c r="X2" s="16">
        <f>W2</f>
        <v>42521</v>
      </c>
      <c r="Y2" s="16">
        <f>X2</f>
        <v>42521</v>
      </c>
      <c r="Z2" s="95"/>
    </row>
    <row r="3" spans="1:27" x14ac:dyDescent="0.25">
      <c r="A3" s="37"/>
      <c r="B3" s="37"/>
      <c r="C3" s="59"/>
      <c r="D3" s="37"/>
      <c r="E3" s="50"/>
      <c r="F3" s="50"/>
      <c r="G3" s="50"/>
      <c r="H3" s="37"/>
      <c r="I3" s="37"/>
      <c r="J3" s="37"/>
      <c r="K3" s="37"/>
      <c r="L3" s="38"/>
      <c r="M3" s="72"/>
      <c r="N3" s="28">
        <f>SUM(N4:N6)</f>
        <v>173000000</v>
      </c>
      <c r="O3" s="79"/>
      <c r="P3" s="79"/>
      <c r="Q3" s="99"/>
      <c r="R3" s="93"/>
      <c r="S3" s="93"/>
      <c r="T3" s="3">
        <f>SUM(T4:T6)</f>
        <v>165171591</v>
      </c>
      <c r="U3" s="35">
        <v>173000000</v>
      </c>
      <c r="V3" s="43">
        <f>U3/N3</f>
        <v>1</v>
      </c>
      <c r="W3" s="40">
        <f>V3*T3</f>
        <v>165171591</v>
      </c>
      <c r="X3" s="42">
        <v>165873259.75</v>
      </c>
      <c r="Y3" s="96">
        <f>W3/X3*100</f>
        <v>99.576985011895502</v>
      </c>
      <c r="Z3" s="95"/>
      <c r="AA3" s="25"/>
    </row>
    <row r="4" spans="1:27" x14ac:dyDescent="0.25">
      <c r="A4" s="32"/>
      <c r="B4" s="32"/>
      <c r="C4" s="60"/>
      <c r="D4" s="32" t="s">
        <v>14</v>
      </c>
      <c r="E4" s="53" t="e">
        <f ca="1">_xll.BDP(H4,$E$1)</f>
        <v>#NAME?</v>
      </c>
      <c r="F4" s="49" t="e">
        <f ca="1">_xll.BDP(H4,$F$1)</f>
        <v>#NAME?</v>
      </c>
      <c r="G4" s="49" t="e">
        <f ca="1">_xll.BDP(H4,$G$1)</f>
        <v>#NAME?</v>
      </c>
      <c r="H4" s="26" t="str">
        <f t="shared" ref="H4:H11" si="0">C4&amp;" Mtge"</f>
        <v xml:space="preserve"> Mtge</v>
      </c>
      <c r="I4" s="32" t="s">
        <v>20</v>
      </c>
      <c r="J4" s="32"/>
      <c r="K4" s="32" t="s">
        <v>49</v>
      </c>
      <c r="L4" s="36" t="s">
        <v>11</v>
      </c>
      <c r="M4" s="71">
        <f>INDEX('CLOIE Pre and Post Crisis Index'!$A:$M,MATCH('08.31.2016'!$O$2,'CLOIE Pre and Post Crisis Index'!$A:$A,0),MATCH('08.31.2016'!L4,'CLOIE Pre and Post Crisis Index'!$1:$1,0))</f>
        <v>247.98795000000001</v>
      </c>
      <c r="N4" s="33">
        <v>89000000</v>
      </c>
      <c r="O4" s="77">
        <v>100.02209999999999</v>
      </c>
      <c r="P4" s="77">
        <v>100.13240051269531</v>
      </c>
      <c r="Q4" s="91"/>
      <c r="R4" s="91">
        <f>IF(Q4="Y",P4,O4)</f>
        <v>100.02209999999999</v>
      </c>
      <c r="S4" s="91" t="str">
        <f>IF(Q4="Y",K4,I4)</f>
        <v>JPM Pricing Direct</v>
      </c>
      <c r="T4" s="1">
        <f>IF(Q4="Y",P4*N4/100,O4*N4/100)</f>
        <v>89019669</v>
      </c>
      <c r="U4" s="88">
        <f>T4</f>
        <v>89019669</v>
      </c>
      <c r="V4" s="21"/>
      <c r="W4" s="41"/>
      <c r="X4" s="26"/>
      <c r="Y4" s="97"/>
      <c r="Z4" s="95"/>
      <c r="AA4" s="25"/>
    </row>
    <row r="5" spans="1:27" x14ac:dyDescent="0.25">
      <c r="A5" s="32"/>
      <c r="B5" s="32"/>
      <c r="C5" s="60"/>
      <c r="D5" s="32" t="s">
        <v>13</v>
      </c>
      <c r="E5" s="53" t="e">
        <f ca="1">_xll.BDP(H5,$E$1)</f>
        <v>#NAME?</v>
      </c>
      <c r="F5" s="49" t="e">
        <f ca="1">_xll.BDP(H5,$F$1)</f>
        <v>#NAME?</v>
      </c>
      <c r="G5" s="49" t="e">
        <f ca="1">_xll.BDP(H5,$G$1)</f>
        <v>#NAME?</v>
      </c>
      <c r="H5" s="26" t="str">
        <f t="shared" si="0"/>
        <v xml:space="preserve"> Mtge</v>
      </c>
      <c r="I5" s="32" t="s">
        <v>20</v>
      </c>
      <c r="J5" s="32"/>
      <c r="K5" s="32" t="s">
        <v>49</v>
      </c>
      <c r="L5" s="8" t="s">
        <v>5</v>
      </c>
      <c r="M5" s="71">
        <f>INDEX('CLOIE Pre and Post Crisis Index'!$A:$M,MATCH('08.31.2016'!$O$2,'CLOIE Pre and Post Crisis Index'!$A:$A,0),MATCH('08.31.2016'!L5,'CLOIE Pre and Post Crisis Index'!$1:$1,0))</f>
        <v>359.72536000000002</v>
      </c>
      <c r="N5" s="33">
        <v>35000000</v>
      </c>
      <c r="O5" s="77">
        <v>100.372</v>
      </c>
      <c r="P5" s="77">
        <v>100.41200256347656</v>
      </c>
      <c r="Q5" s="91"/>
      <c r="R5" s="91">
        <f>IF(Q5="Y",P5,O5)</f>
        <v>100.372</v>
      </c>
      <c r="S5" s="91" t="str">
        <f>IF(Q5="Y",K5,I5)</f>
        <v>JPM Pricing Direct</v>
      </c>
      <c r="T5" s="1">
        <f>IF(Q5="Y",P5*N5/100,O5*N5/100)</f>
        <v>35130200</v>
      </c>
      <c r="U5" s="88">
        <f>U4+T5</f>
        <v>124149869</v>
      </c>
      <c r="V5" s="21"/>
      <c r="W5" s="41"/>
      <c r="X5" s="26"/>
      <c r="Y5" s="97"/>
      <c r="Z5" s="95"/>
      <c r="AA5" s="25"/>
    </row>
    <row r="6" spans="1:27" x14ac:dyDescent="0.25">
      <c r="A6" s="32"/>
      <c r="B6" s="32"/>
      <c r="C6" s="60"/>
      <c r="D6" s="32" t="s">
        <v>3</v>
      </c>
      <c r="E6" s="53" t="e">
        <f ca="1">_xll.BDP(H6,$E$1)</f>
        <v>#NAME?</v>
      </c>
      <c r="F6" s="49" t="e">
        <f ca="1">_xll.BDP(H6,$F$1)</f>
        <v>#NAME?</v>
      </c>
      <c r="G6" s="49" t="e">
        <f ca="1">_xll.BDP(H6,$G$1)</f>
        <v>#NAME?</v>
      </c>
      <c r="H6" s="26" t="str">
        <f t="shared" si="0"/>
        <v xml:space="preserve"> Mtge</v>
      </c>
      <c r="I6" s="32" t="s">
        <v>20</v>
      </c>
      <c r="J6" s="32"/>
      <c r="K6" s="32" t="s">
        <v>49</v>
      </c>
      <c r="L6" s="10" t="s">
        <v>21</v>
      </c>
      <c r="M6" s="73">
        <v>0.1</v>
      </c>
      <c r="N6" s="33">
        <v>49000000</v>
      </c>
      <c r="O6" s="80">
        <v>83.717799999999997</v>
      </c>
      <c r="P6" s="80">
        <v>76</v>
      </c>
      <c r="Q6" s="91"/>
      <c r="R6" s="94">
        <f>IF(Q6="Y",P6,O6)</f>
        <v>83.717799999999997</v>
      </c>
      <c r="S6" s="94" t="str">
        <f>IF(Q6="Y",K6,I6)</f>
        <v>JPM Pricing Direct</v>
      </c>
      <c r="T6" s="1">
        <f>IF(Q6="Y",P6*N6/100,O6*N6/100)</f>
        <v>41021722</v>
      </c>
      <c r="U6" s="88">
        <f>U5+T6</f>
        <v>165171591</v>
      </c>
      <c r="V6" s="89" t="b">
        <f>U6=T3</f>
        <v>1</v>
      </c>
      <c r="W6" s="41"/>
      <c r="X6" s="26"/>
      <c r="Y6" s="97"/>
      <c r="Z6" s="95"/>
      <c r="AA6" s="25"/>
    </row>
    <row r="7" spans="1:27" x14ac:dyDescent="0.25">
      <c r="A7" s="37"/>
      <c r="B7" s="37"/>
      <c r="C7" s="59"/>
      <c r="D7" s="37"/>
      <c r="E7" s="50"/>
      <c r="F7" s="50"/>
      <c r="G7" s="50"/>
      <c r="H7" s="37" t="str">
        <f t="shared" si="0"/>
        <v xml:space="preserve"> Mtge</v>
      </c>
      <c r="I7" s="37"/>
      <c r="J7" s="37"/>
      <c r="K7" s="37"/>
      <c r="L7" s="38"/>
      <c r="M7" s="72"/>
      <c r="N7" s="28">
        <f>SUM(N8:N11)</f>
        <v>117250000</v>
      </c>
      <c r="O7" s="79"/>
      <c r="P7" s="79"/>
      <c r="Q7" s="90"/>
      <c r="R7" s="93"/>
      <c r="S7" s="93"/>
      <c r="T7" s="3">
        <f>SUM(T8:T11)</f>
        <v>105192521</v>
      </c>
      <c r="U7" s="35">
        <v>39050000</v>
      </c>
      <c r="V7" s="43">
        <f>U7/N7</f>
        <v>0.33304904051172707</v>
      </c>
      <c r="W7" s="40">
        <f>V7*T7</f>
        <v>35034268.188059703</v>
      </c>
      <c r="X7" s="42">
        <v>38294892.649999999</v>
      </c>
      <c r="Y7" s="96">
        <f>W7/X7*100</f>
        <v>91.485484783203077</v>
      </c>
      <c r="Z7" s="95"/>
      <c r="AA7" s="25"/>
    </row>
    <row r="8" spans="1:27" x14ac:dyDescent="0.25">
      <c r="A8" s="32"/>
      <c r="B8" s="32"/>
      <c r="C8" s="60"/>
      <c r="D8" s="32" t="s">
        <v>14</v>
      </c>
      <c r="E8" s="53" t="e">
        <f ca="1">_xll.BDP(H8,$E$1)</f>
        <v>#NAME?</v>
      </c>
      <c r="F8" s="49" t="e">
        <f ca="1">_xll.BDP(H8,$F$1)</f>
        <v>#NAME?</v>
      </c>
      <c r="G8" s="49" t="e">
        <f ca="1">_xll.BDP(H8,$G$1)</f>
        <v>#NAME?</v>
      </c>
      <c r="H8" s="26" t="str">
        <f t="shared" si="0"/>
        <v xml:space="preserve"> Mtge</v>
      </c>
      <c r="I8" s="32" t="s">
        <v>20</v>
      </c>
      <c r="J8" s="32"/>
      <c r="K8" s="32" t="s">
        <v>44</v>
      </c>
      <c r="L8" s="36" t="s">
        <v>11</v>
      </c>
      <c r="M8" s="71">
        <f>INDEX('CLOIE Pre and Post Crisis Index'!$A:$M,MATCH('08.31.2016'!$O$2,'CLOIE Pre and Post Crisis Index'!$A:$A,0),MATCH('08.31.2016'!L8,'CLOIE Pre and Post Crisis Index'!$1:$1,0))</f>
        <v>247.98795000000001</v>
      </c>
      <c r="N8" s="33">
        <v>36000000</v>
      </c>
      <c r="O8" s="77">
        <v>99.224599999999995</v>
      </c>
      <c r="P8" s="77">
        <v>100.26</v>
      </c>
      <c r="Q8" s="91"/>
      <c r="R8" s="91">
        <f>IF(Q8="Y",P8,O8)</f>
        <v>99.224599999999995</v>
      </c>
      <c r="S8" s="91" t="str">
        <f>IF(Q8="Y",K8,I8)</f>
        <v>JPM Pricing Direct</v>
      </c>
      <c r="T8" s="1">
        <f>IF(Q8="Y",P8*N8/100,O8*N8/100)</f>
        <v>35720856</v>
      </c>
      <c r="U8" s="88">
        <f>T8</f>
        <v>35720856</v>
      </c>
      <c r="V8" s="21"/>
      <c r="W8" s="41"/>
      <c r="X8" s="26"/>
      <c r="Y8" s="97"/>
      <c r="Z8" s="95"/>
      <c r="AA8" s="25"/>
    </row>
    <row r="9" spans="1:27" x14ac:dyDescent="0.25">
      <c r="A9" s="26"/>
      <c r="B9" s="26"/>
      <c r="C9" s="63"/>
      <c r="D9" s="26" t="s">
        <v>15</v>
      </c>
      <c r="E9" s="49" t="e">
        <f ca="1">_xll.BDP(H9,$E$1)</f>
        <v>#NAME?</v>
      </c>
      <c r="F9" s="49" t="e">
        <f ca="1">_xll.BDP(H9,$F$1)</f>
        <v>#NAME?</v>
      </c>
      <c r="G9" s="49" t="e">
        <f ca="1">_xll.BDP(H9,$G$1)</f>
        <v>#NAME?</v>
      </c>
      <c r="H9" s="26" t="str">
        <f t="shared" si="0"/>
        <v xml:space="preserve"> Mtge</v>
      </c>
      <c r="I9" s="32" t="s">
        <v>20</v>
      </c>
      <c r="J9" s="32"/>
      <c r="K9" s="32" t="s">
        <v>44</v>
      </c>
      <c r="L9" s="7" t="s">
        <v>6</v>
      </c>
      <c r="M9" s="71">
        <f>INDEX('CLOIE Pre and Post Crisis Index'!$A:$M,MATCH('08.31.2016'!$O$2,'CLOIE Pre and Post Crisis Index'!$A:$A,0),MATCH('08.31.2016'!L9,'CLOIE Pre and Post Crisis Index'!$1:$1,0))</f>
        <v>550.64362000000006</v>
      </c>
      <c r="N9" s="33">
        <v>32500000</v>
      </c>
      <c r="O9" s="77">
        <v>94.703299999999999</v>
      </c>
      <c r="P9" s="77">
        <v>95.56</v>
      </c>
      <c r="Q9" s="91"/>
      <c r="R9" s="91">
        <f>IF(Q9="Y",P9,O9)</f>
        <v>94.703299999999999</v>
      </c>
      <c r="S9" s="91" t="str">
        <f>IF(Q9="Y",K9,I9)</f>
        <v>JPM Pricing Direct</v>
      </c>
      <c r="T9" s="1">
        <f>IF(Q9="Y",P9*N9/100,O9*N9/100)</f>
        <v>30778572.5</v>
      </c>
      <c r="U9" s="88">
        <f>U8+T9</f>
        <v>66499428.5</v>
      </c>
      <c r="V9" s="21"/>
      <c r="W9" s="41"/>
      <c r="X9" s="26"/>
      <c r="Y9" s="97"/>
      <c r="Z9" s="95"/>
      <c r="AA9" s="25"/>
    </row>
    <row r="10" spans="1:27" x14ac:dyDescent="0.25">
      <c r="A10" s="26"/>
      <c r="B10" s="26"/>
      <c r="C10" s="63"/>
      <c r="D10" s="26" t="s">
        <v>16</v>
      </c>
      <c r="E10" s="49" t="e">
        <f ca="1">_xll.BDP(H10,$E$1)</f>
        <v>#NAME?</v>
      </c>
      <c r="F10" s="49" t="e">
        <f ca="1">_xll.BDP(H10,$F$1)</f>
        <v>#NAME?</v>
      </c>
      <c r="G10" s="49" t="e">
        <f ca="1">_xll.BDP(H10,$G$1)</f>
        <v>#NAME?</v>
      </c>
      <c r="H10" s="26" t="str">
        <f t="shared" si="0"/>
        <v xml:space="preserve"> Mtge</v>
      </c>
      <c r="I10" s="32" t="s">
        <v>20</v>
      </c>
      <c r="J10" s="32"/>
      <c r="K10" s="32" t="s">
        <v>44</v>
      </c>
      <c r="L10" s="6" t="s">
        <v>7</v>
      </c>
      <c r="M10" s="71">
        <f>INDEX('CLOIE Pre and Post Crisis Index'!$A:$M,MATCH('08.31.2016'!$O$2,'CLOIE Pre and Post Crisis Index'!$A:$A,0),MATCH('08.31.2016'!L10,'CLOIE Pre and Post Crisis Index'!$1:$1,0))</f>
        <v>927.82632000000001</v>
      </c>
      <c r="N10" s="33">
        <v>33750000</v>
      </c>
      <c r="O10" s="77">
        <v>83.974199999999996</v>
      </c>
      <c r="P10" s="77">
        <v>85.6</v>
      </c>
      <c r="Q10" s="91"/>
      <c r="R10" s="91">
        <f>IF(Q10="Y",P10,O10)</f>
        <v>83.974199999999996</v>
      </c>
      <c r="S10" s="91" t="str">
        <f>IF(Q10="Y",K10,I10)</f>
        <v>JPM Pricing Direct</v>
      </c>
      <c r="T10" s="1">
        <f>IF(Q10="Y",P10*N10/100,O10*N10/100)</f>
        <v>28341292.5</v>
      </c>
      <c r="U10" s="88">
        <f>U9+T10</f>
        <v>94840721</v>
      </c>
      <c r="V10" s="21"/>
      <c r="W10" s="41"/>
      <c r="X10" s="26"/>
      <c r="Y10" s="97"/>
      <c r="Z10" s="95"/>
      <c r="AA10" s="25"/>
    </row>
    <row r="11" spans="1:27" x14ac:dyDescent="0.25">
      <c r="A11" s="27"/>
      <c r="B11" s="27"/>
      <c r="C11" s="64"/>
      <c r="D11" s="27" t="s">
        <v>3</v>
      </c>
      <c r="E11" s="51" t="e">
        <f ca="1">_xll.BDP(H11,$E$1)</f>
        <v>#NAME?</v>
      </c>
      <c r="F11" s="49" t="e">
        <f ca="1">_xll.BDP(H11,$F$1)</f>
        <v>#NAME?</v>
      </c>
      <c r="G11" s="49" t="e">
        <f ca="1">_xll.BDP(H11,$G$1)</f>
        <v>#NAME?</v>
      </c>
      <c r="H11" s="26" t="str">
        <f t="shared" si="0"/>
        <v xml:space="preserve"> Mtge</v>
      </c>
      <c r="I11" s="39" t="s">
        <v>20</v>
      </c>
      <c r="J11" s="32"/>
      <c r="K11" s="32" t="s">
        <v>44</v>
      </c>
      <c r="L11" s="11" t="s">
        <v>21</v>
      </c>
      <c r="M11" s="74">
        <v>0.1</v>
      </c>
      <c r="N11" s="23">
        <v>15000000</v>
      </c>
      <c r="O11" s="78">
        <v>69.012</v>
      </c>
      <c r="P11" s="78">
        <v>72</v>
      </c>
      <c r="Q11" s="91"/>
      <c r="R11" s="94">
        <f>IF(Q11="Y",P11,O11)</f>
        <v>69.012</v>
      </c>
      <c r="S11" s="94" t="str">
        <f>IF(Q11="Y",K11,I11)</f>
        <v>JPM Pricing Direct</v>
      </c>
      <c r="T11" s="1">
        <f>IF(Q11="Y",P11*N11/100,O11*N11/100)</f>
        <v>10351800</v>
      </c>
      <c r="U11" s="88">
        <f>U10+T11</f>
        <v>105192521</v>
      </c>
      <c r="V11" s="89" t="b">
        <f>U11=T7</f>
        <v>1</v>
      </c>
      <c r="W11" s="17"/>
      <c r="X11" s="27"/>
      <c r="Y11" s="98"/>
      <c r="Z11" s="95"/>
      <c r="AA11" s="25"/>
    </row>
    <row r="12" spans="1:27" x14ac:dyDescent="0.25">
      <c r="A12" s="37"/>
      <c r="B12" s="37"/>
      <c r="C12" s="59"/>
      <c r="D12" s="37"/>
      <c r="E12" s="50"/>
      <c r="F12" s="50"/>
      <c r="G12" s="50"/>
      <c r="H12" s="37"/>
      <c r="I12" s="37"/>
      <c r="J12" s="37"/>
      <c r="K12" s="37"/>
      <c r="L12" s="38"/>
      <c r="M12" s="72"/>
      <c r="N12" s="28">
        <f>SUM(N13:N15)</f>
        <v>153000000</v>
      </c>
      <c r="O12" s="79"/>
      <c r="P12" s="79"/>
      <c r="Q12" s="99"/>
      <c r="R12" s="93"/>
      <c r="S12" s="93"/>
      <c r="T12" s="3">
        <f>SUM(T13:T15)</f>
        <v>140450247</v>
      </c>
      <c r="U12" s="35">
        <v>153000000</v>
      </c>
      <c r="V12" s="43">
        <f>U12/N12</f>
        <v>1</v>
      </c>
      <c r="W12" s="40">
        <f>V12*T12</f>
        <v>140450247</v>
      </c>
      <c r="X12" s="42">
        <v>147983010.69</v>
      </c>
      <c r="Y12" s="96">
        <f>W12/X12*100</f>
        <v>94.909710476306032</v>
      </c>
      <c r="Z12" s="95"/>
      <c r="AA12" s="25"/>
    </row>
    <row r="13" spans="1:27" x14ac:dyDescent="0.25">
      <c r="A13" s="32"/>
      <c r="B13" s="32"/>
      <c r="C13" s="60"/>
      <c r="D13" s="32" t="s">
        <v>18</v>
      </c>
      <c r="E13" s="53" t="e">
        <f ca="1">_xll.BDP(H13,$E$1)</f>
        <v>#NAME?</v>
      </c>
      <c r="F13" s="49" t="e">
        <f ca="1">_xll.BDP(H13,$F$1)</f>
        <v>#NAME?</v>
      </c>
      <c r="G13" s="49" t="e">
        <f ca="1">_xll.BDP(H13,$G$1)</f>
        <v>#NAME?</v>
      </c>
      <c r="H13" s="26" t="str">
        <f>C13&amp;" Mtge"</f>
        <v xml:space="preserve"> Mtge</v>
      </c>
      <c r="I13" s="32" t="s">
        <v>20</v>
      </c>
      <c r="J13" s="32"/>
      <c r="K13" s="32" t="s">
        <v>45</v>
      </c>
      <c r="L13" s="36" t="s">
        <v>11</v>
      </c>
      <c r="M13" s="71">
        <f>INDEX('CLOIE Pre and Post Crisis Index'!$A:$M,MATCH('08.31.2016'!$O$2,'CLOIE Pre and Post Crisis Index'!$A:$A,0),MATCH('08.31.2016'!L13,'CLOIE Pre and Post Crisis Index'!$1:$1,0))</f>
        <v>247.98795000000001</v>
      </c>
      <c r="N13" s="33">
        <v>60000000</v>
      </c>
      <c r="O13" s="77">
        <v>100.18219999999999</v>
      </c>
      <c r="P13" s="77">
        <v>100.25</v>
      </c>
      <c r="Q13" s="91"/>
      <c r="R13" s="91">
        <f>IF(Q13="Y",P13,O13)</f>
        <v>100.18219999999999</v>
      </c>
      <c r="S13" s="91" t="str">
        <f>IF(Q13="Y",K13,I13)</f>
        <v>JPM Pricing Direct</v>
      </c>
      <c r="T13" s="1">
        <f>IF(Q13="Y",P13*N13/100,O13*N13/100)</f>
        <v>60109320</v>
      </c>
      <c r="U13" s="88">
        <f>T13</f>
        <v>60109320</v>
      </c>
      <c r="V13" s="21"/>
      <c r="W13" s="41"/>
      <c r="X13" s="26"/>
      <c r="Y13" s="97"/>
      <c r="Z13" s="95"/>
      <c r="AA13" s="25"/>
    </row>
    <row r="14" spans="1:27" x14ac:dyDescent="0.25">
      <c r="A14" s="32"/>
      <c r="B14" s="32"/>
      <c r="C14" s="60"/>
      <c r="D14" s="32" t="s">
        <v>13</v>
      </c>
      <c r="E14" s="53" t="e">
        <f ca="1">_xll.BDP(H14,$E$1)</f>
        <v>#NAME?</v>
      </c>
      <c r="F14" s="49" t="e">
        <f ca="1">_xll.BDP(H14,$F$1)</f>
        <v>#NAME?</v>
      </c>
      <c r="G14" s="49" t="e">
        <f ca="1">_xll.BDP(H14,$G$1)</f>
        <v>#NAME?</v>
      </c>
      <c r="H14" s="26" t="str">
        <f>C14&amp;" Mtge"</f>
        <v xml:space="preserve"> Mtge</v>
      </c>
      <c r="I14" s="32" t="s">
        <v>20</v>
      </c>
      <c r="J14" s="32"/>
      <c r="K14" s="32" t="s">
        <v>45</v>
      </c>
      <c r="L14" s="8" t="s">
        <v>5</v>
      </c>
      <c r="M14" s="71">
        <f>INDEX('CLOIE Pre and Post Crisis Index'!$A:$M,MATCH('08.31.2016'!$O$2,'CLOIE Pre and Post Crisis Index'!$A:$A,0),MATCH('08.31.2016'!L14,'CLOIE Pre and Post Crisis Index'!$1:$1,0))</f>
        <v>359.72536000000002</v>
      </c>
      <c r="N14" s="33">
        <v>46000000</v>
      </c>
      <c r="O14" s="77">
        <v>100.27249999999999</v>
      </c>
      <c r="P14" s="77">
        <v>100.06</v>
      </c>
      <c r="Q14" s="91"/>
      <c r="R14" s="91">
        <f>IF(Q14="Y",P14,O14)</f>
        <v>100.27249999999999</v>
      </c>
      <c r="S14" s="91" t="str">
        <f>IF(Q14="Y",K14,I14)</f>
        <v>JPM Pricing Direct</v>
      </c>
      <c r="T14" s="1">
        <f>IF(Q14="Y",P14*N14/100,O14*N14/100)</f>
        <v>46125350</v>
      </c>
      <c r="U14" s="88">
        <f>U13+T14</f>
        <v>106234670</v>
      </c>
      <c r="V14" s="21"/>
      <c r="W14" s="41"/>
      <c r="X14" s="26"/>
      <c r="Y14" s="97"/>
      <c r="Z14" s="95"/>
      <c r="AA14" s="25"/>
    </row>
    <row r="15" spans="1:27" x14ac:dyDescent="0.25">
      <c r="A15" s="32"/>
      <c r="B15" s="32"/>
      <c r="C15" s="60"/>
      <c r="D15" s="32"/>
      <c r="E15" s="53" t="e">
        <f ca="1">_xll.BDP(H15,$E$1)</f>
        <v>#NAME?</v>
      </c>
      <c r="F15" s="49" t="e">
        <f ca="1">_xll.BDP(H15,$F$1)</f>
        <v>#NAME?</v>
      </c>
      <c r="G15" s="49" t="e">
        <f ca="1">_xll.BDP(H15,$G$1)</f>
        <v>#NAME?</v>
      </c>
      <c r="H15" s="26" t="str">
        <f>C15&amp;" Mtge"</f>
        <v xml:space="preserve"> Mtge</v>
      </c>
      <c r="I15" s="32" t="s">
        <v>20</v>
      </c>
      <c r="J15" s="32"/>
      <c r="K15" s="32" t="s">
        <v>45</v>
      </c>
      <c r="L15" s="10"/>
      <c r="M15" s="75"/>
      <c r="N15" s="33">
        <v>47000000</v>
      </c>
      <c r="O15" s="80">
        <v>72.799099999999996</v>
      </c>
      <c r="P15" s="80">
        <v>75.91</v>
      </c>
      <c r="Q15" s="91"/>
      <c r="R15" s="94">
        <f>IF(Q15="Y",P15,O15)</f>
        <v>72.799099999999996</v>
      </c>
      <c r="S15" s="94" t="str">
        <f>IF(Q15="Y",K15,I15)</f>
        <v>JPM Pricing Direct</v>
      </c>
      <c r="T15" s="1">
        <f>IF(Q15="Y",P15*N15/100,O15*N15/100)</f>
        <v>34215577</v>
      </c>
      <c r="U15" s="88">
        <f>U14+T15</f>
        <v>140450247</v>
      </c>
      <c r="V15" s="89" t="b">
        <f>U15=T12</f>
        <v>1</v>
      </c>
      <c r="W15" s="41"/>
      <c r="X15" s="26"/>
      <c r="Y15" s="97"/>
      <c r="Z15" s="95"/>
      <c r="AA15" s="25"/>
    </row>
    <row r="16" spans="1:27" x14ac:dyDescent="0.25">
      <c r="A16" s="37"/>
      <c r="B16" s="37"/>
      <c r="C16" s="59"/>
      <c r="D16" s="37"/>
      <c r="E16" s="50"/>
      <c r="F16" s="50"/>
      <c r="G16" s="50"/>
      <c r="H16" s="37"/>
      <c r="I16" s="37"/>
      <c r="J16" s="37"/>
      <c r="K16" s="37"/>
      <c r="L16" s="38"/>
      <c r="M16" s="72"/>
      <c r="N16" s="28">
        <f>SUM(N17:N21)</f>
        <v>171750000</v>
      </c>
      <c r="O16" s="79"/>
      <c r="P16" s="79"/>
      <c r="Q16" s="99"/>
      <c r="R16" s="93"/>
      <c r="S16" s="93"/>
      <c r="T16" s="3">
        <f>SUM(T17:T21)</f>
        <v>163012281</v>
      </c>
      <c r="U16" s="35">
        <v>171750000</v>
      </c>
      <c r="V16" s="43">
        <f>U16/N16</f>
        <v>1</v>
      </c>
      <c r="W16" s="40">
        <f>V16*T16</f>
        <v>163012281</v>
      </c>
      <c r="X16" s="42">
        <v>164394192.94999999</v>
      </c>
      <c r="Y16" s="96">
        <f>W16/X16*100</f>
        <v>99.159391262427192</v>
      </c>
      <c r="Z16" s="95"/>
      <c r="AA16" s="25"/>
    </row>
    <row r="17" spans="1:27" x14ac:dyDescent="0.25">
      <c r="C17" s="60"/>
      <c r="D17" s="25" t="s">
        <v>14</v>
      </c>
      <c r="E17" s="52" t="e">
        <f ca="1">_xll.BDP(H17,$E$1)</f>
        <v>#NAME?</v>
      </c>
      <c r="F17" s="49" t="e">
        <f ca="1">_xll.BDP(H17,$F$1)</f>
        <v>#NAME?</v>
      </c>
      <c r="G17" s="49" t="e">
        <f ca="1">_xll.BDP(H17,$G$1)</f>
        <v>#NAME?</v>
      </c>
      <c r="H17" s="26" t="str">
        <f>C17&amp;" Mtge"</f>
        <v xml:space="preserve"> Mtge</v>
      </c>
      <c r="I17" s="32" t="s">
        <v>20</v>
      </c>
      <c r="J17" s="32"/>
      <c r="K17" s="32" t="s">
        <v>49</v>
      </c>
      <c r="L17" s="25" t="s">
        <v>11</v>
      </c>
      <c r="M17" s="71">
        <f>INDEX('CLOIE Pre and Post Crisis Index'!$A:$M,MATCH('08.31.2016'!$O$2,'CLOIE Pre and Post Crisis Index'!$A:$A,0),MATCH('08.31.2016'!L17,'CLOIE Pre and Post Crisis Index'!$1:$1,0))</f>
        <v>247.98795000000001</v>
      </c>
      <c r="N17" s="44">
        <v>11250000</v>
      </c>
      <c r="O17" s="77">
        <v>99.428799999999995</v>
      </c>
      <c r="P17" s="77">
        <v>98.285400390625</v>
      </c>
      <c r="Q17" s="91"/>
      <c r="R17" s="91">
        <f>IF(Q17="Y",P17,O17)</f>
        <v>99.428799999999995</v>
      </c>
      <c r="S17" s="91" t="str">
        <f>IF(Q17="Y",K17,I17)</f>
        <v>JPM Pricing Direct</v>
      </c>
      <c r="T17" s="1">
        <f>IF(Q17="Y",P17*N17/100,O17*N17/100)</f>
        <v>11185740</v>
      </c>
      <c r="U17" s="88">
        <f>T17</f>
        <v>11185740</v>
      </c>
      <c r="V17" s="21"/>
      <c r="W17" s="41"/>
      <c r="X17" s="26"/>
      <c r="Y17" s="97"/>
      <c r="Z17" s="95"/>
      <c r="AA17" s="25"/>
    </row>
    <row r="18" spans="1:27" x14ac:dyDescent="0.25">
      <c r="C18" s="60"/>
      <c r="D18" s="25" t="s">
        <v>13</v>
      </c>
      <c r="E18" s="52" t="e">
        <f ca="1">_xll.BDP(H18,$E$1)</f>
        <v>#NAME?</v>
      </c>
      <c r="F18" s="49" t="e">
        <f ca="1">_xll.BDP(H18,$F$1)</f>
        <v>#NAME?</v>
      </c>
      <c r="G18" s="49" t="e">
        <f ca="1">_xll.BDP(H18,$G$1)</f>
        <v>#NAME?</v>
      </c>
      <c r="H18" s="26" t="str">
        <f>C18&amp;" Mtge"</f>
        <v xml:space="preserve"> Mtge</v>
      </c>
      <c r="I18" s="32" t="s">
        <v>20</v>
      </c>
      <c r="J18" s="32"/>
      <c r="K18" s="32" t="s">
        <v>49</v>
      </c>
      <c r="L18" s="25" t="s">
        <v>5</v>
      </c>
      <c r="M18" s="71">
        <f>INDEX('CLOIE Pre and Post Crisis Index'!$A:$M,MATCH('08.31.2016'!$O$2,'CLOIE Pre and Post Crisis Index'!$A:$A,0),MATCH('08.31.2016'!L18,'CLOIE Pre and Post Crisis Index'!$1:$1,0))</f>
        <v>359.72536000000002</v>
      </c>
      <c r="N18" s="44">
        <v>49875000</v>
      </c>
      <c r="O18" s="77">
        <v>100.13290000000001</v>
      </c>
      <c r="P18" s="77">
        <v>100.08260345458984</v>
      </c>
      <c r="Q18" s="91"/>
      <c r="R18" s="91">
        <f>IF(Q18="Y",P18,O18)</f>
        <v>100.13290000000001</v>
      </c>
      <c r="S18" s="91" t="str">
        <f>IF(Q18="Y",K18,I18)</f>
        <v>JPM Pricing Direct</v>
      </c>
      <c r="T18" s="1">
        <f>IF(Q18="Y",P18*N18/100,O18*N18/100)</f>
        <v>49941283.875</v>
      </c>
      <c r="U18" s="88">
        <f>U17+T18</f>
        <v>61127023.875</v>
      </c>
      <c r="V18" s="21"/>
      <c r="W18" s="41"/>
      <c r="X18" s="26"/>
      <c r="Y18" s="97"/>
      <c r="Z18" s="95"/>
      <c r="AA18" s="25"/>
    </row>
    <row r="19" spans="1:27" x14ac:dyDescent="0.25">
      <c r="C19" s="60"/>
      <c r="D19" s="25" t="s">
        <v>15</v>
      </c>
      <c r="E19" s="52" t="e">
        <f ca="1">_xll.BDP(H19,$E$1)</f>
        <v>#NAME?</v>
      </c>
      <c r="F19" s="49" t="e">
        <f ca="1">_xll.BDP(H19,$F$1)</f>
        <v>#NAME?</v>
      </c>
      <c r="G19" s="49" t="e">
        <f ca="1">_xll.BDP(H19,$G$1)</f>
        <v>#NAME?</v>
      </c>
      <c r="H19" s="26" t="str">
        <f>C19&amp;" Mtge"</f>
        <v xml:space="preserve"> Mtge</v>
      </c>
      <c r="I19" s="32" t="s">
        <v>20</v>
      </c>
      <c r="J19" s="32"/>
      <c r="K19" s="32" t="s">
        <v>49</v>
      </c>
      <c r="L19" s="25" t="s">
        <v>6</v>
      </c>
      <c r="M19" s="71">
        <f>INDEX('CLOIE Pre and Post Crisis Index'!$A:$M,MATCH('08.31.2016'!$O$2,'CLOIE Pre and Post Crisis Index'!$A:$A,0),MATCH('08.31.2016'!L19,'CLOIE Pre and Post Crisis Index'!$1:$1,0))</f>
        <v>550.64362000000006</v>
      </c>
      <c r="N19" s="44">
        <v>38875000</v>
      </c>
      <c r="O19" s="77">
        <v>99.205699999999993</v>
      </c>
      <c r="P19" s="77">
        <v>98.508003234863281</v>
      </c>
      <c r="Q19" s="91"/>
      <c r="R19" s="91">
        <f>IF(Q19="Y",P19,O19)</f>
        <v>99.205699999999993</v>
      </c>
      <c r="S19" s="91" t="str">
        <f>IF(Q19="Y",K19,I19)</f>
        <v>JPM Pricing Direct</v>
      </c>
      <c r="T19" s="1">
        <f>IF(Q19="Y",P19*N19/100,O19*N19/100)</f>
        <v>38566215.874999993</v>
      </c>
      <c r="U19" s="88">
        <f>U18+T19</f>
        <v>99693239.75</v>
      </c>
      <c r="V19" s="21"/>
      <c r="W19" s="41"/>
      <c r="X19" s="26"/>
      <c r="Y19" s="97"/>
      <c r="Z19" s="95"/>
      <c r="AA19" s="25"/>
    </row>
    <row r="20" spans="1:27" x14ac:dyDescent="0.25">
      <c r="C20" s="60"/>
      <c r="D20" s="25" t="s">
        <v>40</v>
      </c>
      <c r="E20" s="52" t="e">
        <f ca="1">_xll.BDP(H20,$E$1)</f>
        <v>#NAME?</v>
      </c>
      <c r="F20" s="49" t="e">
        <f ca="1">_xll.BDP(H20,$F$1)</f>
        <v>#NAME?</v>
      </c>
      <c r="G20" s="49" t="e">
        <f ca="1">_xll.BDP(H20,$G$1)</f>
        <v>#NAME?</v>
      </c>
      <c r="H20" s="26" t="str">
        <f>C20&amp;" Mtge"</f>
        <v xml:space="preserve"> Mtge</v>
      </c>
      <c r="I20" s="32" t="s">
        <v>20</v>
      </c>
      <c r="J20" s="32"/>
      <c r="K20" s="32" t="s">
        <v>49</v>
      </c>
      <c r="L20" s="25" t="s">
        <v>7</v>
      </c>
      <c r="M20" s="71">
        <f>INDEX('CLOIE Pre and Post Crisis Index'!$A:$M,MATCH('08.31.2016'!$O$2,'CLOIE Pre and Post Crisis Index'!$A:$A,0),MATCH('08.31.2016'!L20,'CLOIE Pre and Post Crisis Index'!$1:$1,0))</f>
        <v>927.82632000000001</v>
      </c>
      <c r="N20" s="44">
        <v>11875000</v>
      </c>
      <c r="O20" s="77">
        <v>88.990899999999996</v>
      </c>
      <c r="P20" s="77">
        <v>89.166999816894531</v>
      </c>
      <c r="Q20" s="91"/>
      <c r="R20" s="91">
        <f>IF(Q20="Y",P20,O20)</f>
        <v>88.990899999999996</v>
      </c>
      <c r="S20" s="91" t="str">
        <f>IF(Q20="Y",K20,I20)</f>
        <v>JPM Pricing Direct</v>
      </c>
      <c r="T20" s="1">
        <f>IF(Q20="Y",P20*N20/100,O20*N20/100)</f>
        <v>10567669.375</v>
      </c>
      <c r="U20" s="88">
        <f t="shared" ref="U20:U21" si="1">U19+T20</f>
        <v>110260909.125</v>
      </c>
      <c r="V20" s="21"/>
      <c r="W20" s="41"/>
      <c r="X20" s="26"/>
      <c r="Y20" s="97"/>
      <c r="Z20" s="95"/>
      <c r="AA20" s="25"/>
    </row>
    <row r="21" spans="1:27" x14ac:dyDescent="0.25">
      <c r="A21" s="4"/>
      <c r="B21" s="4"/>
      <c r="C21" s="60"/>
      <c r="D21" s="4"/>
      <c r="E21" s="52" t="e">
        <f ca="1">_xll.BDP(H21,$E$1)</f>
        <v>#NAME?</v>
      </c>
      <c r="F21" s="49" t="e">
        <f ca="1">_xll.BDP(H21,$F$1)</f>
        <v>#NAME?</v>
      </c>
      <c r="G21" s="49" t="e">
        <f ca="1">_xll.BDP(H21,$G$1)</f>
        <v>#NAME?</v>
      </c>
      <c r="H21" s="26" t="str">
        <f>C21&amp;" Mtge"</f>
        <v xml:space="preserve"> Mtge</v>
      </c>
      <c r="I21" s="32" t="s">
        <v>20</v>
      </c>
      <c r="J21" s="32"/>
      <c r="K21" s="32" t="s">
        <v>49</v>
      </c>
      <c r="L21" s="4" t="s">
        <v>21</v>
      </c>
      <c r="M21" s="76"/>
      <c r="N21" s="45">
        <v>59875000</v>
      </c>
      <c r="O21" s="78">
        <v>88.102500000000006</v>
      </c>
      <c r="P21" s="78">
        <v>80</v>
      </c>
      <c r="Q21" s="91"/>
      <c r="R21" s="94">
        <f>IF(Q21="Y",P21,O21)</f>
        <v>88.102500000000006</v>
      </c>
      <c r="S21" s="94" t="str">
        <f>IF(Q21="Y",K21,I21)</f>
        <v>JPM Pricing Direct</v>
      </c>
      <c r="T21" s="31">
        <f>IF(Q21="Y",P21*N21/100,O21*N21/100)</f>
        <v>52751371.875</v>
      </c>
      <c r="U21" s="88">
        <f t="shared" si="1"/>
        <v>163012281</v>
      </c>
      <c r="V21" s="89" t="b">
        <f>U21=T16</f>
        <v>1</v>
      </c>
      <c r="W21" s="17"/>
      <c r="X21" s="27"/>
      <c r="Y21" s="98"/>
      <c r="Z21" s="95"/>
      <c r="AA21" s="25"/>
    </row>
    <row r="22" spans="1:27" x14ac:dyDescent="0.25">
      <c r="A22" s="37"/>
      <c r="B22" s="37"/>
      <c r="C22" s="59"/>
      <c r="D22" s="37"/>
      <c r="E22" s="50"/>
      <c r="F22" s="50"/>
      <c r="G22" s="50"/>
      <c r="H22" s="37"/>
      <c r="I22" s="37"/>
      <c r="J22" s="37"/>
      <c r="K22" s="37"/>
      <c r="L22" s="38"/>
      <c r="M22" s="72"/>
      <c r="N22" s="28">
        <f>SUM(N23:N27)</f>
        <v>113100000</v>
      </c>
      <c r="O22" s="79"/>
      <c r="P22" s="79"/>
      <c r="Q22" s="90"/>
      <c r="R22" s="93"/>
      <c r="S22" s="93"/>
      <c r="T22" s="3">
        <f>SUM(T23:T27)</f>
        <v>109506929.5</v>
      </c>
      <c r="U22" s="35">
        <v>113100000</v>
      </c>
      <c r="V22" s="43">
        <f>U22/N22</f>
        <v>1</v>
      </c>
      <c r="W22" s="40">
        <f>V22*T22</f>
        <v>109506929.5</v>
      </c>
      <c r="X22" s="42">
        <v>108509774.43000001</v>
      </c>
      <c r="Y22" s="96">
        <f>W22/X22*100</f>
        <v>100.91895414513397</v>
      </c>
      <c r="Z22" s="95"/>
      <c r="AA22" s="25"/>
    </row>
    <row r="23" spans="1:27" x14ac:dyDescent="0.25">
      <c r="A23" s="32"/>
      <c r="B23" s="32"/>
      <c r="C23" s="60"/>
      <c r="D23" s="32" t="s">
        <v>14</v>
      </c>
      <c r="E23" s="53" t="e">
        <f ca="1">_xll.BDP(H23,$E$1)</f>
        <v>#NAME?</v>
      </c>
      <c r="F23" s="49" t="e">
        <f ca="1">_xll.BDP(H23,$F$1)</f>
        <v>#NAME?</v>
      </c>
      <c r="G23" s="49" t="e">
        <f ca="1">_xll.BDP(H23,$G$1)</f>
        <v>#NAME?</v>
      </c>
      <c r="H23" s="26" t="str">
        <f>C23&amp;" Mtge"</f>
        <v xml:space="preserve"> Mtge</v>
      </c>
      <c r="I23" s="32" t="s">
        <v>20</v>
      </c>
      <c r="J23" s="32"/>
      <c r="K23" s="32" t="s">
        <v>44</v>
      </c>
      <c r="L23" s="36" t="s">
        <v>11</v>
      </c>
      <c r="M23" s="71">
        <f>INDEX('CLOIE Pre and Post Crisis Index'!$A:$M,MATCH('08.31.2016'!$O$2,'CLOIE Pre and Post Crisis Index'!$A:$A,0),MATCH('08.31.2016'!L23,'CLOIE Pre and Post Crisis Index'!$1:$1,0))</f>
        <v>247.98795000000001</v>
      </c>
      <c r="N23" s="33">
        <v>4750000</v>
      </c>
      <c r="O23" s="77">
        <v>99.428200000000004</v>
      </c>
      <c r="P23" s="77">
        <v>100.85</v>
      </c>
      <c r="Q23" s="91"/>
      <c r="R23" s="91">
        <f>IF(Q23="Y",P23,O23)</f>
        <v>99.428200000000004</v>
      </c>
      <c r="S23" s="91" t="str">
        <f>IF(Q23="Y",K23,I23)</f>
        <v>JPM Pricing Direct</v>
      </c>
      <c r="T23" s="1">
        <f>IF(Q23="Y",P23*N23/100,O23*N23/100)</f>
        <v>4722839.5</v>
      </c>
      <c r="U23" s="88">
        <f>T23</f>
        <v>4722839.5</v>
      </c>
      <c r="V23" s="21"/>
      <c r="W23" s="41"/>
      <c r="X23" s="26"/>
      <c r="Y23" s="97"/>
      <c r="Z23" s="95"/>
      <c r="AA23" s="25"/>
    </row>
    <row r="24" spans="1:27" x14ac:dyDescent="0.25">
      <c r="A24" s="32"/>
      <c r="B24" s="32"/>
      <c r="C24" s="60"/>
      <c r="D24" s="32" t="s">
        <v>13</v>
      </c>
      <c r="E24" s="53" t="e">
        <f ca="1">_xll.BDP(H24,$E$1)</f>
        <v>#NAME?</v>
      </c>
      <c r="F24" s="49" t="e">
        <f ca="1">_xll.BDP(H24,$F$1)</f>
        <v>#NAME?</v>
      </c>
      <c r="G24" s="49" t="e">
        <f ca="1">_xll.BDP(H24,$G$1)</f>
        <v>#NAME?</v>
      </c>
      <c r="H24" s="26" t="str">
        <f>C24&amp;" Mtge"</f>
        <v xml:space="preserve"> Mtge</v>
      </c>
      <c r="I24" s="32" t="s">
        <v>20</v>
      </c>
      <c r="J24" s="32"/>
      <c r="K24" s="32" t="s">
        <v>44</v>
      </c>
      <c r="L24" s="8" t="s">
        <v>5</v>
      </c>
      <c r="M24" s="71">
        <f>INDEX('CLOIE Pre and Post Crisis Index'!$A:$M,MATCH('08.31.2016'!$O$2,'CLOIE Pre and Post Crisis Index'!$A:$A,0),MATCH('08.31.2016'!L24,'CLOIE Pre and Post Crisis Index'!$1:$1,0))</f>
        <v>359.72536000000002</v>
      </c>
      <c r="N24" s="33">
        <v>35100000</v>
      </c>
      <c r="O24" s="77">
        <v>100.2565</v>
      </c>
      <c r="P24" s="77">
        <v>101.78</v>
      </c>
      <c r="Q24" s="91"/>
      <c r="R24" s="91">
        <f>IF(Q24="Y",P24,O24)</f>
        <v>100.2565</v>
      </c>
      <c r="S24" s="91" t="str">
        <f>IF(Q24="Y",K24,I24)</f>
        <v>JPM Pricing Direct</v>
      </c>
      <c r="T24" s="1">
        <f>IF(Q24="Y",P24*N24/100,O24*N24/100)</f>
        <v>35190031.5</v>
      </c>
      <c r="U24" s="88">
        <f>U23+T24</f>
        <v>39912871</v>
      </c>
      <c r="V24" s="21"/>
      <c r="W24" s="41"/>
      <c r="X24" s="26"/>
      <c r="Y24" s="97"/>
      <c r="Z24" s="95"/>
      <c r="AA24" s="25"/>
    </row>
    <row r="25" spans="1:27" x14ac:dyDescent="0.25">
      <c r="A25" s="32"/>
      <c r="B25" s="32"/>
      <c r="C25" s="60"/>
      <c r="D25" s="32" t="s">
        <v>15</v>
      </c>
      <c r="E25" s="53" t="e">
        <f ca="1">_xll.BDP(H25,$E$1)</f>
        <v>#NAME?</v>
      </c>
      <c r="F25" s="49" t="e">
        <f ca="1">_xll.BDP(H25,$F$1)</f>
        <v>#NAME?</v>
      </c>
      <c r="G25" s="49" t="e">
        <f ca="1">_xll.BDP(H25,$G$1)</f>
        <v>#NAME?</v>
      </c>
      <c r="H25" s="26" t="str">
        <f>C25&amp;" Mtge"</f>
        <v xml:space="preserve"> Mtge</v>
      </c>
      <c r="I25" s="32" t="s">
        <v>20</v>
      </c>
      <c r="J25" s="32"/>
      <c r="K25" s="32" t="s">
        <v>44</v>
      </c>
      <c r="L25" s="8" t="s">
        <v>6</v>
      </c>
      <c r="M25" s="71">
        <f>INDEX('CLOIE Pre and Post Crisis Index'!$A:$M,MATCH('08.31.2016'!$O$2,'CLOIE Pre and Post Crisis Index'!$A:$A,0),MATCH('08.31.2016'!L25,'CLOIE Pre and Post Crisis Index'!$1:$1,0))</f>
        <v>550.64362000000006</v>
      </c>
      <c r="N25" s="33">
        <v>27750000</v>
      </c>
      <c r="O25" s="77">
        <v>99.571100000000001</v>
      </c>
      <c r="P25" s="77">
        <v>101.2</v>
      </c>
      <c r="Q25" s="91"/>
      <c r="R25" s="91">
        <f>IF(Q25="Y",P25,O25)</f>
        <v>99.571100000000001</v>
      </c>
      <c r="S25" s="91" t="str">
        <f>IF(Q25="Y",K25,I25)</f>
        <v>JPM Pricing Direct</v>
      </c>
      <c r="T25" s="1">
        <f>IF(Q25="Y",P25*N25/100,O25*N25/100)</f>
        <v>27630980.25</v>
      </c>
      <c r="U25" s="88">
        <f>U24+T25</f>
        <v>67543851.25</v>
      </c>
      <c r="V25" s="21"/>
      <c r="W25" s="41"/>
      <c r="X25" s="26"/>
      <c r="Y25" s="97"/>
      <c r="Z25" s="95"/>
      <c r="AA25" s="25"/>
    </row>
    <row r="26" spans="1:27" x14ac:dyDescent="0.25">
      <c r="A26" s="32"/>
      <c r="B26" s="32"/>
      <c r="C26" s="60"/>
      <c r="D26" s="32" t="s">
        <v>16</v>
      </c>
      <c r="E26" s="53" t="e">
        <f ca="1">_xll.BDP(H26,$E$1)</f>
        <v>#NAME?</v>
      </c>
      <c r="F26" s="49" t="e">
        <f ca="1">_xll.BDP(H26,$F$1)</f>
        <v>#NAME?</v>
      </c>
      <c r="G26" s="49" t="e">
        <f ca="1">_xll.BDP(H26,$G$1)</f>
        <v>#NAME?</v>
      </c>
      <c r="H26" s="26" t="str">
        <f>C26&amp;" Mtge"</f>
        <v xml:space="preserve"> Mtge</v>
      </c>
      <c r="I26" s="32" t="s">
        <v>20</v>
      </c>
      <c r="J26" s="32"/>
      <c r="K26" s="32" t="s">
        <v>44</v>
      </c>
      <c r="L26" s="8" t="s">
        <v>7</v>
      </c>
      <c r="M26" s="71">
        <f>INDEX('CLOIE Pre and Post Crisis Index'!$A:$M,MATCH('08.31.2016'!$O$2,'CLOIE Pre and Post Crisis Index'!$A:$A,0),MATCH('08.31.2016'!L26,'CLOIE Pre and Post Crisis Index'!$1:$1,0))</f>
        <v>927.82632000000001</v>
      </c>
      <c r="N26" s="33">
        <v>4750000</v>
      </c>
      <c r="O26" s="77">
        <v>90.000699999999995</v>
      </c>
      <c r="P26" s="77">
        <v>92.29</v>
      </c>
      <c r="Q26" s="91"/>
      <c r="R26" s="91">
        <f>IF(Q26="Y",P26,O26)</f>
        <v>90.000699999999995</v>
      </c>
      <c r="S26" s="91" t="str">
        <f>IF(Q26="Y",K26,I26)</f>
        <v>JPM Pricing Direct</v>
      </c>
      <c r="T26" s="1">
        <f>IF(Q26="Y",P26*N26/100,O26*N26/100)</f>
        <v>4275033.25</v>
      </c>
      <c r="U26" s="88">
        <f t="shared" ref="U26:U27" si="2">U25+T26</f>
        <v>71818884.5</v>
      </c>
      <c r="V26" s="21"/>
      <c r="W26" s="41"/>
      <c r="X26" s="26"/>
      <c r="Y26" s="97"/>
      <c r="Z26" s="95"/>
      <c r="AA26" s="25"/>
    </row>
    <row r="27" spans="1:27" x14ac:dyDescent="0.25">
      <c r="A27" s="32"/>
      <c r="B27" s="32"/>
      <c r="C27" s="60"/>
      <c r="D27" s="32" t="s">
        <v>3</v>
      </c>
      <c r="E27" s="53" t="e">
        <f ca="1">_xll.BDP(H27,$E$1)</f>
        <v>#NAME?</v>
      </c>
      <c r="F27" s="49" t="e">
        <f ca="1">_xll.BDP(H27,$F$1)</f>
        <v>#NAME?</v>
      </c>
      <c r="G27" s="49" t="e">
        <f ca="1">_xll.BDP(H27,$G$1)</f>
        <v>#NAME?</v>
      </c>
      <c r="H27" s="26" t="str">
        <f>C27&amp;" Mtge"</f>
        <v xml:space="preserve"> Mtge</v>
      </c>
      <c r="I27" s="32" t="s">
        <v>20</v>
      </c>
      <c r="J27" s="32"/>
      <c r="K27" s="32" t="s">
        <v>44</v>
      </c>
      <c r="L27" s="32"/>
      <c r="M27" s="70"/>
      <c r="N27" s="33">
        <v>40750000</v>
      </c>
      <c r="O27" s="80">
        <v>92.486000000000004</v>
      </c>
      <c r="P27" s="80">
        <v>88</v>
      </c>
      <c r="Q27" s="91"/>
      <c r="R27" s="94">
        <f>IF(Q27="Y",P27,O27)</f>
        <v>92.486000000000004</v>
      </c>
      <c r="S27" s="94" t="str">
        <f>IF(Q27="Y",K27,I27)</f>
        <v>JPM Pricing Direct</v>
      </c>
      <c r="T27" s="1">
        <f>IF(Q27="Y",P27*N27/100,O27*N27/100)</f>
        <v>37688045</v>
      </c>
      <c r="U27" s="88">
        <f t="shared" si="2"/>
        <v>109506929.5</v>
      </c>
      <c r="V27" s="89" t="b">
        <f>U27=T22</f>
        <v>1</v>
      </c>
      <c r="W27" s="41"/>
      <c r="X27" s="26"/>
      <c r="Y27" s="97"/>
      <c r="Z27" s="95"/>
      <c r="AA27" s="25"/>
    </row>
    <row r="28" spans="1:27" x14ac:dyDescent="0.25">
      <c r="A28" s="37"/>
      <c r="B28" s="37"/>
      <c r="C28" s="59"/>
      <c r="D28" s="37"/>
      <c r="E28" s="50"/>
      <c r="F28" s="50"/>
      <c r="G28" s="50"/>
      <c r="H28" s="37"/>
      <c r="I28" s="37"/>
      <c r="J28" s="37"/>
      <c r="K28" s="37"/>
      <c r="L28" s="38"/>
      <c r="M28" s="72"/>
      <c r="N28" s="28">
        <v>168221600</v>
      </c>
      <c r="O28" s="79"/>
      <c r="P28" s="79"/>
      <c r="Q28" s="90"/>
      <c r="R28" s="93"/>
      <c r="S28" s="93"/>
      <c r="T28" s="3">
        <f>SUM(T29:T32)</f>
        <v>167567948.80000001</v>
      </c>
      <c r="U28" s="35">
        <v>168221600</v>
      </c>
      <c r="V28" s="43">
        <f>U28/N28</f>
        <v>1</v>
      </c>
      <c r="W28" s="40">
        <f>V28*T28</f>
        <v>167567948.80000001</v>
      </c>
      <c r="X28" s="42">
        <v>161760489.58000001</v>
      </c>
      <c r="Y28" s="96">
        <f>W28/X28*100</f>
        <v>103.59015927503599</v>
      </c>
      <c r="Z28" s="95"/>
      <c r="AA28" s="25"/>
    </row>
    <row r="29" spans="1:27" x14ac:dyDescent="0.25">
      <c r="A29" s="32"/>
      <c r="B29" s="32"/>
      <c r="C29" s="60"/>
      <c r="D29" s="32" t="s">
        <v>13</v>
      </c>
      <c r="E29" s="53" t="e">
        <f ca="1">_xll.BDP(H29,$E$1)</f>
        <v>#NAME?</v>
      </c>
      <c r="F29" s="49" t="e">
        <f ca="1">_xll.BDP(H29,$F$1)</f>
        <v>#NAME?</v>
      </c>
      <c r="G29" s="49" t="e">
        <f ca="1">_xll.BDP(H29,$G$1)</f>
        <v>#NAME?</v>
      </c>
      <c r="H29" s="26" t="str">
        <f>C29&amp;" Mtge"</f>
        <v xml:space="preserve"> Mtge</v>
      </c>
      <c r="I29" s="32" t="s">
        <v>20</v>
      </c>
      <c r="J29" s="32"/>
      <c r="K29" s="32" t="s">
        <v>46</v>
      </c>
      <c r="L29" s="8" t="s">
        <v>5</v>
      </c>
      <c r="M29" s="71">
        <f>INDEX('CLOIE Pre and Post Crisis Index'!$A:$M,MATCH('08.31.2016'!$O$2,'CLOIE Pre and Post Crisis Index'!$A:$A,0),MATCH('08.31.2016'!L29,'CLOIE Pre and Post Crisis Index'!$1:$1,0))</f>
        <v>359.72536000000002</v>
      </c>
      <c r="N29" s="33">
        <v>60700000</v>
      </c>
      <c r="O29" s="77">
        <v>100.5964</v>
      </c>
      <c r="P29" s="77">
        <v>100.25</v>
      </c>
      <c r="Q29" s="91"/>
      <c r="R29" s="91">
        <f>IF(Q29="Y",P29,O29)</f>
        <v>100.5964</v>
      </c>
      <c r="S29" s="91" t="str">
        <f>IF(Q29="Y",K29,I29)</f>
        <v>JPM Pricing Direct</v>
      </c>
      <c r="T29" s="1">
        <f>IF(Q29="Y",P29*N29/100,O29*N29/100)</f>
        <v>61062014.799999997</v>
      </c>
      <c r="U29" s="88">
        <f>T29</f>
        <v>61062014.799999997</v>
      </c>
      <c r="V29" s="21"/>
      <c r="W29" s="41"/>
      <c r="X29" s="26"/>
      <c r="Y29" s="97"/>
      <c r="Z29" s="95"/>
      <c r="AA29" s="25"/>
    </row>
    <row r="30" spans="1:27" x14ac:dyDescent="0.25">
      <c r="A30" s="32"/>
      <c r="B30" s="32"/>
      <c r="C30" s="60"/>
      <c r="D30" s="32" t="s">
        <v>15</v>
      </c>
      <c r="E30" s="53" t="e">
        <f ca="1">_xll.BDP(H30,$E$1)</f>
        <v>#NAME?</v>
      </c>
      <c r="F30" s="49" t="e">
        <f ca="1">_xll.BDP(H30,$F$1)</f>
        <v>#NAME?</v>
      </c>
      <c r="G30" s="49" t="e">
        <f ca="1">_xll.BDP(H30,$G$1)</f>
        <v>#NAME?</v>
      </c>
      <c r="H30" s="26" t="str">
        <f>C30&amp;" Mtge"</f>
        <v xml:space="preserve"> Mtge</v>
      </c>
      <c r="I30" s="32" t="s">
        <v>20</v>
      </c>
      <c r="J30" s="32"/>
      <c r="K30" s="32" t="s">
        <v>46</v>
      </c>
      <c r="L30" s="8" t="s">
        <v>6</v>
      </c>
      <c r="M30" s="71">
        <f>INDEX('CLOIE Pre and Post Crisis Index'!$A:$M,MATCH('08.31.2016'!$O$2,'CLOIE Pre and Post Crisis Index'!$A:$A,0),MATCH('08.31.2016'!L30,'CLOIE Pre and Post Crisis Index'!$1:$1,0))</f>
        <v>550.64362000000006</v>
      </c>
      <c r="N30" s="33">
        <v>39900000</v>
      </c>
      <c r="O30" s="77">
        <v>98.805499999999995</v>
      </c>
      <c r="P30" s="77">
        <v>100</v>
      </c>
      <c r="Q30" s="91"/>
      <c r="R30" s="91">
        <f>IF(Q30="Y",P30,O30)</f>
        <v>98.805499999999995</v>
      </c>
      <c r="S30" s="91" t="str">
        <f>IF(Q30="Y",K30,I30)</f>
        <v>JPM Pricing Direct</v>
      </c>
      <c r="T30" s="1">
        <f>IF(Q30="Y",P30*N30/100,O30*N30/100)</f>
        <v>39423394.5</v>
      </c>
      <c r="U30" s="88">
        <f>U29+T30</f>
        <v>100485409.3</v>
      </c>
      <c r="V30" s="21"/>
      <c r="W30" s="41"/>
      <c r="X30" s="26"/>
      <c r="Y30" s="97"/>
      <c r="Z30" s="95"/>
      <c r="AA30" s="25"/>
    </row>
    <row r="31" spans="1:27" x14ac:dyDescent="0.25">
      <c r="A31" s="32"/>
      <c r="B31" s="32"/>
      <c r="C31" s="60"/>
      <c r="D31" s="32" t="s">
        <v>16</v>
      </c>
      <c r="E31" s="53" t="e">
        <f ca="1">_xll.BDP(H31,$E$1)</f>
        <v>#NAME?</v>
      </c>
      <c r="F31" s="49" t="e">
        <f ca="1">_xll.BDP(H31,$F$1)</f>
        <v>#NAME?</v>
      </c>
      <c r="G31" s="49" t="e">
        <f ca="1">_xll.BDP(H31,$G$1)</f>
        <v>#NAME?</v>
      </c>
      <c r="H31" s="26" t="str">
        <f>C31&amp;" Mtge"</f>
        <v xml:space="preserve"> Mtge</v>
      </c>
      <c r="I31" s="32" t="s">
        <v>20</v>
      </c>
      <c r="J31" s="32"/>
      <c r="K31" s="32" t="s">
        <v>46</v>
      </c>
      <c r="L31" s="8" t="s">
        <v>7</v>
      </c>
      <c r="M31" s="71">
        <f>INDEX('CLOIE Pre and Post Crisis Index'!$A:$M,MATCH('08.31.2016'!$O$2,'CLOIE Pre and Post Crisis Index'!$A:$A,0),MATCH('08.31.2016'!L31,'CLOIE Pre and Post Crisis Index'!$1:$1,0))</f>
        <v>927.82632000000001</v>
      </c>
      <c r="N31" s="33">
        <v>10900000</v>
      </c>
      <c r="O31" s="77">
        <v>95.886300000000006</v>
      </c>
      <c r="P31" s="77">
        <v>95.381</v>
      </c>
      <c r="Q31" s="91"/>
      <c r="R31" s="91">
        <f>IF(Q31="Y",P31,O31)</f>
        <v>95.886300000000006</v>
      </c>
      <c r="S31" s="91" t="str">
        <f>IF(Q31="Y",K31,I31)</f>
        <v>JPM Pricing Direct</v>
      </c>
      <c r="T31" s="1">
        <f>IF(Q31="Y",P31*N31/100,O31*N31/100)</f>
        <v>10451606.700000001</v>
      </c>
      <c r="U31" s="88">
        <f>U30+T31</f>
        <v>110937016</v>
      </c>
      <c r="V31" s="21"/>
      <c r="W31" s="41"/>
      <c r="X31" s="26"/>
      <c r="Y31" s="97"/>
      <c r="Z31" s="95"/>
      <c r="AA31" s="25"/>
    </row>
    <row r="32" spans="1:27" x14ac:dyDescent="0.25">
      <c r="A32" s="32"/>
      <c r="B32" s="32"/>
      <c r="C32" s="60"/>
      <c r="D32" s="32" t="s">
        <v>3</v>
      </c>
      <c r="E32" s="53" t="e">
        <f ca="1">_xll.BDP(H32,$E$1)</f>
        <v>#NAME?</v>
      </c>
      <c r="F32" s="49" t="e">
        <f ca="1">_xll.BDP(H32,$F$1)</f>
        <v>#NAME?</v>
      </c>
      <c r="G32" s="49" t="e">
        <f ca="1">_xll.BDP(H32,$G$1)</f>
        <v>#NAME?</v>
      </c>
      <c r="H32" s="26" t="str">
        <f>C32&amp;" Mtge"</f>
        <v xml:space="preserve"> Mtge</v>
      </c>
      <c r="I32" s="32" t="s">
        <v>20</v>
      </c>
      <c r="J32" s="32"/>
      <c r="K32" s="32" t="s">
        <v>46</v>
      </c>
      <c r="L32" s="32" t="s">
        <v>21</v>
      </c>
      <c r="M32" s="70">
        <v>0.1</v>
      </c>
      <c r="N32" s="33">
        <v>62400000</v>
      </c>
      <c r="O32" s="80">
        <v>90.7547</v>
      </c>
      <c r="P32" s="80">
        <v>84.850999999999999</v>
      </c>
      <c r="Q32" s="91"/>
      <c r="R32" s="94">
        <f>IF(Q32="Y",P32,O32)</f>
        <v>90.7547</v>
      </c>
      <c r="S32" s="94" t="str">
        <f>IF(Q32="Y",K32,I32)</f>
        <v>JPM Pricing Direct</v>
      </c>
      <c r="T32" s="1">
        <f>IF(Q32="Y",P32*N32/100,O32*N32/100)</f>
        <v>56630932.799999997</v>
      </c>
      <c r="U32" s="88">
        <f>U31+T32</f>
        <v>167567948.80000001</v>
      </c>
      <c r="V32" s="89" t="b">
        <f>U32=T28</f>
        <v>1</v>
      </c>
      <c r="W32" s="41"/>
      <c r="X32" s="26"/>
      <c r="Y32" s="97"/>
      <c r="Z32" s="95"/>
      <c r="AA32" s="25"/>
    </row>
    <row r="33" spans="1:27" x14ac:dyDescent="0.25">
      <c r="A33" s="37"/>
      <c r="B33" s="37"/>
      <c r="C33" s="59"/>
      <c r="D33" s="37"/>
      <c r="E33" s="50"/>
      <c r="F33" s="50"/>
      <c r="G33" s="50"/>
      <c r="H33" s="37"/>
      <c r="I33" s="37"/>
      <c r="J33" s="37"/>
      <c r="K33" s="37"/>
      <c r="L33" s="38"/>
      <c r="M33" s="72"/>
      <c r="N33" s="28">
        <f>SUM(N34:N37)</f>
        <v>137500000</v>
      </c>
      <c r="O33" s="79"/>
      <c r="P33" s="79"/>
      <c r="Q33" s="90"/>
      <c r="R33" s="93"/>
      <c r="S33" s="93"/>
      <c r="T33" s="3">
        <f>SUM(T34:T37)</f>
        <v>137726768.09999999</v>
      </c>
      <c r="U33" s="35">
        <v>137500000</v>
      </c>
      <c r="V33" s="43">
        <f>U33/N33</f>
        <v>1</v>
      </c>
      <c r="W33" s="40">
        <f>V33*T33</f>
        <v>137726768.09999999</v>
      </c>
      <c r="X33" s="42">
        <v>133052703.48</v>
      </c>
      <c r="Y33" s="96">
        <f>W33/X33*100</f>
        <v>103.51294223848866</v>
      </c>
      <c r="Z33" s="95"/>
      <c r="AA33" s="25"/>
    </row>
    <row r="34" spans="1:27" x14ac:dyDescent="0.25">
      <c r="A34" s="32"/>
      <c r="B34" s="32"/>
      <c r="C34" s="60"/>
      <c r="D34" s="32" t="s">
        <v>13</v>
      </c>
      <c r="E34" s="53" t="e">
        <f ca="1">_xll.BDP(H34,$E$1)</f>
        <v>#NAME?</v>
      </c>
      <c r="F34" s="49" t="e">
        <f ca="1">_xll.BDP(H34,$F$1)</f>
        <v>#NAME?</v>
      </c>
      <c r="G34" s="49" t="e">
        <f ca="1">_xll.BDP(H34,$G$1)</f>
        <v>#NAME?</v>
      </c>
      <c r="H34" s="26" t="str">
        <f>C34&amp;" Mtge"</f>
        <v xml:space="preserve"> Mtge</v>
      </c>
      <c r="I34" s="32" t="s">
        <v>20</v>
      </c>
      <c r="J34" s="32"/>
      <c r="K34" s="32" t="s">
        <v>49</v>
      </c>
      <c r="L34" s="8" t="s">
        <v>5</v>
      </c>
      <c r="M34" s="71">
        <f>INDEX('CLOIE Pre and Post Crisis Index'!$A:$M,MATCH('08.31.2016'!$O$2,'CLOIE Pre and Post Crisis Index'!$A:$A,0),MATCH('08.31.2016'!L34,'CLOIE Pre and Post Crisis Index'!$1:$1,0))</f>
        <v>359.72536000000002</v>
      </c>
      <c r="N34" s="33">
        <v>18900000</v>
      </c>
      <c r="O34" s="77">
        <v>102.42870000000001</v>
      </c>
      <c r="P34" s="77">
        <v>101</v>
      </c>
      <c r="Q34" s="91"/>
      <c r="R34" s="91">
        <f>IF(Q34="Y",P34,O34)</f>
        <v>102.42870000000001</v>
      </c>
      <c r="S34" s="91" t="str">
        <f>IF(Q34="Y",K34,I34)</f>
        <v>JPM Pricing Direct</v>
      </c>
      <c r="T34" s="1">
        <f>IF(Q34="Y",P34*N34/100,O34*N34/100)</f>
        <v>19359024.300000001</v>
      </c>
      <c r="U34" s="88">
        <f>T34</f>
        <v>19359024.300000001</v>
      </c>
      <c r="V34" s="21"/>
      <c r="W34" s="41"/>
      <c r="X34" s="26"/>
      <c r="Y34" s="97"/>
      <c r="Z34" s="95"/>
      <c r="AA34" s="25"/>
    </row>
    <row r="35" spans="1:27" x14ac:dyDescent="0.25">
      <c r="A35" s="32"/>
      <c r="B35" s="32"/>
      <c r="C35" s="60"/>
      <c r="D35" s="32" t="s">
        <v>15</v>
      </c>
      <c r="E35" s="53" t="e">
        <f ca="1">_xll.BDP(H35,$E$1)</f>
        <v>#NAME?</v>
      </c>
      <c r="F35" s="49" t="e">
        <f ca="1">_xll.BDP(H35,$F$1)</f>
        <v>#NAME?</v>
      </c>
      <c r="G35" s="49" t="e">
        <f ca="1">_xll.BDP(H35,$G$1)</f>
        <v>#NAME?</v>
      </c>
      <c r="H35" s="26" t="str">
        <f>C35&amp;" Mtge"</f>
        <v xml:space="preserve"> Mtge</v>
      </c>
      <c r="I35" s="32" t="s">
        <v>20</v>
      </c>
      <c r="J35" s="32"/>
      <c r="K35" s="32" t="s">
        <v>49</v>
      </c>
      <c r="L35" s="8" t="s">
        <v>6</v>
      </c>
      <c r="M35" s="71">
        <f>INDEX('CLOIE Pre and Post Crisis Index'!$A:$M,MATCH('08.31.2016'!$O$2,'CLOIE Pre and Post Crisis Index'!$A:$A,0),MATCH('08.31.2016'!L35,'CLOIE Pre and Post Crisis Index'!$1:$1,0))</f>
        <v>550.64362000000006</v>
      </c>
      <c r="N35" s="33">
        <v>56600000</v>
      </c>
      <c r="O35" s="77">
        <v>98.255200000000002</v>
      </c>
      <c r="P35" s="77">
        <v>100.10500335693359</v>
      </c>
      <c r="Q35" s="91"/>
      <c r="R35" s="91">
        <f>IF(Q35="Y",P35,O35)</f>
        <v>98.255200000000002</v>
      </c>
      <c r="S35" s="91" t="str">
        <f>IF(Q35="Y",K35,I35)</f>
        <v>JPM Pricing Direct</v>
      </c>
      <c r="T35" s="1">
        <f>IF(Q35="Y",P35*N35/100,O35*N35/100)</f>
        <v>55612443.200000003</v>
      </c>
      <c r="U35" s="88">
        <f>U34+T35</f>
        <v>74971467.5</v>
      </c>
      <c r="V35" s="21"/>
      <c r="W35" s="41"/>
      <c r="X35" s="26"/>
      <c r="Y35" s="97"/>
      <c r="Z35" s="95"/>
      <c r="AA35" s="25"/>
    </row>
    <row r="36" spans="1:27" x14ac:dyDescent="0.25">
      <c r="A36" s="32"/>
      <c r="B36" s="32"/>
      <c r="C36" s="60"/>
      <c r="D36" s="32" t="s">
        <v>16</v>
      </c>
      <c r="E36" s="53" t="e">
        <f ca="1">_xll.BDP(H36,$E$1)</f>
        <v>#NAME?</v>
      </c>
      <c r="F36" s="49" t="e">
        <f ca="1">_xll.BDP(H36,$F$1)</f>
        <v>#NAME?</v>
      </c>
      <c r="G36" s="49" t="e">
        <f ca="1">_xll.BDP(H36,$G$1)</f>
        <v>#NAME?</v>
      </c>
      <c r="H36" s="26" t="str">
        <f>C36&amp;" Mtge"</f>
        <v xml:space="preserve"> Mtge</v>
      </c>
      <c r="I36" s="32" t="s">
        <v>20</v>
      </c>
      <c r="J36" s="32"/>
      <c r="K36" s="32" t="s">
        <v>49</v>
      </c>
      <c r="L36" s="8" t="s">
        <v>7</v>
      </c>
      <c r="M36" s="71">
        <f>INDEX('CLOIE Pre and Post Crisis Index'!$A:$M,MATCH('08.31.2016'!$O$2,'CLOIE Pre and Post Crisis Index'!$A:$A,0),MATCH('08.31.2016'!L36,'CLOIE Pre and Post Crisis Index'!$1:$1,0))</f>
        <v>927.82632000000001</v>
      </c>
      <c r="N36" s="33">
        <v>5300000</v>
      </c>
      <c r="O36" s="77">
        <v>100.2161</v>
      </c>
      <c r="P36" s="77">
        <v>100</v>
      </c>
      <c r="Q36" s="91"/>
      <c r="R36" s="91">
        <f>IF(Q36="Y",P36,O36)</f>
        <v>100.2161</v>
      </c>
      <c r="S36" s="91" t="str">
        <f>IF(Q36="Y",K36,I36)</f>
        <v>JPM Pricing Direct</v>
      </c>
      <c r="T36" s="1">
        <f>IF(Q36="Y",P36*N36/100,O36*N36/100)</f>
        <v>5311453.3</v>
      </c>
      <c r="U36" s="88">
        <f>U35+T36</f>
        <v>80282920.799999997</v>
      </c>
      <c r="V36" s="21"/>
      <c r="W36" s="41"/>
      <c r="X36" s="26"/>
      <c r="Y36" s="97"/>
      <c r="Z36" s="95"/>
      <c r="AA36" s="25"/>
    </row>
    <row r="37" spans="1:27" x14ac:dyDescent="0.25">
      <c r="A37" s="32"/>
      <c r="B37" s="32"/>
      <c r="C37" s="60"/>
      <c r="D37" s="32" t="s">
        <v>3</v>
      </c>
      <c r="E37" s="53" t="e">
        <f ca="1">_xll.BDP(H37,$E$1)</f>
        <v>#NAME?</v>
      </c>
      <c r="F37" s="49" t="e">
        <f ca="1">_xll.BDP(H37,$F$1)</f>
        <v>#NAME?</v>
      </c>
      <c r="G37" s="49" t="e">
        <f ca="1">_xll.BDP(H37,$G$1)</f>
        <v>#NAME?</v>
      </c>
      <c r="H37" s="26" t="str">
        <f>C37&amp;" Mtge"</f>
        <v xml:space="preserve"> Mtge</v>
      </c>
      <c r="I37" s="32" t="s">
        <v>20</v>
      </c>
      <c r="J37" s="32"/>
      <c r="K37" s="32" t="s">
        <v>49</v>
      </c>
      <c r="L37" s="8" t="s">
        <v>21</v>
      </c>
      <c r="M37" s="70">
        <v>0.1</v>
      </c>
      <c r="N37" s="33">
        <v>56700000</v>
      </c>
      <c r="O37" s="77">
        <v>101.31189999999999</v>
      </c>
      <c r="P37" s="77">
        <v>88</v>
      </c>
      <c r="Q37" s="91"/>
      <c r="R37" s="94">
        <f>IF(Q37="Y",P37,O37)</f>
        <v>101.31189999999999</v>
      </c>
      <c r="S37" s="94" t="str">
        <f>IF(Q37="Y",K37,I37)</f>
        <v>JPM Pricing Direct</v>
      </c>
      <c r="T37" s="1">
        <f>IF(Q37="Y",P37*N37/100,O37*N37/100)</f>
        <v>57443847.299999997</v>
      </c>
      <c r="U37" s="88">
        <f>U36+T37</f>
        <v>137726768.09999999</v>
      </c>
      <c r="V37" s="89" t="b">
        <f>U37=T33</f>
        <v>1</v>
      </c>
      <c r="W37" s="41"/>
      <c r="X37" s="26"/>
      <c r="Y37" s="97"/>
      <c r="Z37" s="95"/>
      <c r="AA37" s="25"/>
    </row>
    <row r="38" spans="1:27" x14ac:dyDescent="0.25">
      <c r="A38" s="37"/>
      <c r="B38" s="37"/>
      <c r="C38" s="59"/>
      <c r="D38" s="37"/>
      <c r="E38" s="50"/>
      <c r="F38" s="50"/>
      <c r="G38" s="50"/>
      <c r="H38" s="37"/>
      <c r="I38" s="37"/>
      <c r="J38" s="37"/>
      <c r="K38" s="37"/>
      <c r="L38" s="38"/>
      <c r="M38" s="72"/>
      <c r="N38" s="28">
        <v>200000000</v>
      </c>
      <c r="O38" s="81"/>
      <c r="P38" s="81"/>
      <c r="Q38" s="99"/>
      <c r="R38" s="93"/>
      <c r="S38" s="93"/>
      <c r="T38" s="3">
        <f>SUM(T39:T42)</f>
        <v>193294475</v>
      </c>
      <c r="U38" s="35">
        <v>200000000</v>
      </c>
      <c r="V38" s="43">
        <f>U38/N38</f>
        <v>1</v>
      </c>
      <c r="W38" s="40">
        <f>V38*T38</f>
        <v>193294475</v>
      </c>
      <c r="X38" s="42">
        <v>185283665.09999999</v>
      </c>
      <c r="Y38" s="96">
        <f>W38/X38*100</f>
        <v>104.32353812500226</v>
      </c>
      <c r="Z38" s="95"/>
      <c r="AA38" s="25"/>
    </row>
    <row r="39" spans="1:27" x14ac:dyDescent="0.25">
      <c r="A39" s="32"/>
      <c r="B39" s="32"/>
      <c r="C39" s="60"/>
      <c r="D39" s="32" t="s">
        <v>13</v>
      </c>
      <c r="E39" s="53" t="e">
        <f ca="1">_xll.BDP(H39,$E$1)</f>
        <v>#NAME?</v>
      </c>
      <c r="F39" s="49" t="e">
        <f ca="1">_xll.BDP(H39,$F$1)</f>
        <v>#NAME?</v>
      </c>
      <c r="G39" s="49" t="e">
        <f ca="1">_xll.BDP(H39,$G$1)</f>
        <v>#NAME?</v>
      </c>
      <c r="H39" s="26" t="str">
        <f>C39&amp;" Mtge"</f>
        <v xml:space="preserve"> Mtge</v>
      </c>
      <c r="I39" s="32" t="s">
        <v>20</v>
      </c>
      <c r="J39" s="32"/>
      <c r="K39" s="32" t="s">
        <v>47</v>
      </c>
      <c r="L39" s="8" t="s">
        <v>5</v>
      </c>
      <c r="M39" s="71">
        <f>INDEX('CLOIE Pre and Post Crisis Index'!$A:$M,MATCH('08.31.2016'!$O$2,'CLOIE Pre and Post Crisis Index'!$A:$A,0),MATCH('08.31.2016'!L39,'CLOIE Pre and Post Crisis Index'!$1:$1,0))</f>
        <v>359.72536000000002</v>
      </c>
      <c r="N39" s="33">
        <v>71000000</v>
      </c>
      <c r="O39" s="77">
        <v>100.7968</v>
      </c>
      <c r="P39" s="77">
        <v>100.575</v>
      </c>
      <c r="Q39" s="91"/>
      <c r="R39" s="91">
        <f>IF(Q39="Y",P39,O39)</f>
        <v>100.7968</v>
      </c>
      <c r="S39" s="91" t="str">
        <f>IF(Q39="Y",K39,I39)</f>
        <v>JPM Pricing Direct</v>
      </c>
      <c r="T39" s="1">
        <f>IF(Q39="Y",P39*N39/100,O39*N39/100)</f>
        <v>71565728</v>
      </c>
      <c r="U39" s="88">
        <f>T39</f>
        <v>71565728</v>
      </c>
      <c r="V39" s="21"/>
      <c r="W39" s="41"/>
      <c r="X39" s="26"/>
      <c r="Y39" s="97"/>
      <c r="Z39" s="95"/>
      <c r="AA39" s="25"/>
    </row>
    <row r="40" spans="1:27" x14ac:dyDescent="0.25">
      <c r="A40" s="32"/>
      <c r="B40" s="32"/>
      <c r="C40" s="60"/>
      <c r="D40" s="32" t="s">
        <v>15</v>
      </c>
      <c r="E40" s="53" t="e">
        <f ca="1">_xll.BDP(H40,$E$1)</f>
        <v>#NAME?</v>
      </c>
      <c r="F40" s="49" t="e">
        <f ca="1">_xll.BDP(H40,$F$1)</f>
        <v>#NAME?</v>
      </c>
      <c r="G40" s="49" t="e">
        <f ca="1">_xll.BDP(H40,$G$1)</f>
        <v>#NAME?</v>
      </c>
      <c r="H40" s="26" t="str">
        <f>C40&amp;" Mtge"</f>
        <v xml:space="preserve"> Mtge</v>
      </c>
      <c r="I40" s="32" t="s">
        <v>20</v>
      </c>
      <c r="J40" s="32"/>
      <c r="K40" s="32" t="s">
        <v>47</v>
      </c>
      <c r="L40" s="8" t="s">
        <v>6</v>
      </c>
      <c r="M40" s="71">
        <f>INDEX('CLOIE Pre and Post Crisis Index'!$A:$M,MATCH('08.31.2016'!$O$2,'CLOIE Pre and Post Crisis Index'!$A:$A,0),MATCH('08.31.2016'!L40,'CLOIE Pre and Post Crisis Index'!$1:$1,0))</f>
        <v>550.64362000000006</v>
      </c>
      <c r="N40" s="33">
        <v>40000000</v>
      </c>
      <c r="O40" s="77">
        <v>98.718599999999995</v>
      </c>
      <c r="P40" s="77">
        <v>96.338999999999999</v>
      </c>
      <c r="Q40" s="91"/>
      <c r="R40" s="91">
        <f>IF(Q40="Y",P40,O40)</f>
        <v>98.718599999999995</v>
      </c>
      <c r="S40" s="91" t="str">
        <f>IF(Q40="Y",K40,I40)</f>
        <v>JPM Pricing Direct</v>
      </c>
      <c r="T40" s="1">
        <f>IF(Q40="Y",P40*N40/100,O40*N40/100)</f>
        <v>39487440</v>
      </c>
      <c r="U40" s="88">
        <f>U39+T40</f>
        <v>111053168</v>
      </c>
      <c r="V40" s="21"/>
      <c r="W40" s="41"/>
      <c r="X40" s="26"/>
      <c r="Y40" s="97"/>
      <c r="Z40" s="95"/>
      <c r="AA40" s="25"/>
    </row>
    <row r="41" spans="1:27" x14ac:dyDescent="0.25">
      <c r="A41" s="32"/>
      <c r="B41" s="32"/>
      <c r="C41" s="60"/>
      <c r="D41" s="32" t="s">
        <v>16</v>
      </c>
      <c r="E41" s="53" t="e">
        <f ca="1">_xll.BDP(H41,$E$1)</f>
        <v>#NAME?</v>
      </c>
      <c r="F41" s="49" t="e">
        <f ca="1">_xll.BDP(H41,$F$1)</f>
        <v>#NAME?</v>
      </c>
      <c r="G41" s="49" t="e">
        <f ca="1">_xll.BDP(H41,$G$1)</f>
        <v>#NAME?</v>
      </c>
      <c r="H41" s="26" t="str">
        <f>C41&amp;" Mtge"</f>
        <v xml:space="preserve"> Mtge</v>
      </c>
      <c r="I41" s="32" t="s">
        <v>20</v>
      </c>
      <c r="J41" s="32"/>
      <c r="K41" s="32" t="s">
        <v>47</v>
      </c>
      <c r="L41" s="8" t="s">
        <v>7</v>
      </c>
      <c r="M41" s="71">
        <f>INDEX('CLOIE Pre and Post Crisis Index'!$A:$M,MATCH('08.31.2016'!$O$2,'CLOIE Pre and Post Crisis Index'!$A:$A,0),MATCH('08.31.2016'!L41,'CLOIE Pre and Post Crisis Index'!$1:$1,0))</f>
        <v>927.82632000000001</v>
      </c>
      <c r="N41" s="33">
        <v>20000000</v>
      </c>
      <c r="O41" s="77">
        <v>98.414699999999996</v>
      </c>
      <c r="P41" s="77">
        <v>95.021000000000001</v>
      </c>
      <c r="Q41" s="91"/>
      <c r="R41" s="91">
        <f>IF(Q41="Y",P41,O41)</f>
        <v>98.414699999999996</v>
      </c>
      <c r="S41" s="91" t="str">
        <f>IF(Q41="Y",K41,I41)</f>
        <v>JPM Pricing Direct</v>
      </c>
      <c r="T41" s="1">
        <f>IF(Q41="Y",P41*N41/100,O41*N41/100)</f>
        <v>19682940</v>
      </c>
      <c r="U41" s="88">
        <f>U40+T41</f>
        <v>130736108</v>
      </c>
      <c r="V41" s="21"/>
      <c r="W41" s="41"/>
      <c r="X41" s="26"/>
      <c r="Y41" s="97"/>
      <c r="Z41" s="95"/>
      <c r="AA41" s="25"/>
    </row>
    <row r="42" spans="1:27" x14ac:dyDescent="0.25">
      <c r="A42" s="32"/>
      <c r="B42" s="32"/>
      <c r="C42" s="60"/>
      <c r="D42" s="32" t="s">
        <v>3</v>
      </c>
      <c r="E42" s="53" t="e">
        <f ca="1">_xll.BDP(H42,$E$1)</f>
        <v>#NAME?</v>
      </c>
      <c r="F42" s="49" t="e">
        <f ca="1">_xll.BDP(H42,$F$1)</f>
        <v>#NAME?</v>
      </c>
      <c r="G42" s="49" t="e">
        <f ca="1">_xll.BDP(H42,$G$1)</f>
        <v>#NAME?</v>
      </c>
      <c r="H42" s="26" t="str">
        <f>C42&amp;" Mtge"</f>
        <v xml:space="preserve"> Mtge</v>
      </c>
      <c r="I42" s="32" t="s">
        <v>20</v>
      </c>
      <c r="J42" s="32"/>
      <c r="K42" s="32" t="s">
        <v>47</v>
      </c>
      <c r="L42" s="8" t="s">
        <v>21</v>
      </c>
      <c r="M42" s="70">
        <v>0.1</v>
      </c>
      <c r="N42" s="33">
        <v>69000000</v>
      </c>
      <c r="O42" s="77">
        <v>90.664299999999997</v>
      </c>
      <c r="P42" s="77">
        <v>91.933000000000007</v>
      </c>
      <c r="Q42" s="91"/>
      <c r="R42" s="94">
        <f>IF(Q42="Y",P42,O42)</f>
        <v>90.664299999999997</v>
      </c>
      <c r="S42" s="94" t="str">
        <f>IF(Q42="Y",K42,I42)</f>
        <v>JPM Pricing Direct</v>
      </c>
      <c r="T42" s="1">
        <f>IF(Q42="Y",P42*N42/100,O42*N42/100)</f>
        <v>62558367</v>
      </c>
      <c r="U42" s="88">
        <f>U41+T42</f>
        <v>193294475</v>
      </c>
      <c r="V42" s="89" t="b">
        <f>U42=T38</f>
        <v>1</v>
      </c>
      <c r="W42" s="41"/>
      <c r="X42" s="26"/>
      <c r="Y42" s="97"/>
      <c r="Z42" s="95"/>
      <c r="AA42" s="25"/>
    </row>
    <row r="43" spans="1:27" x14ac:dyDescent="0.25">
      <c r="A43" s="37"/>
      <c r="B43" s="37"/>
      <c r="C43" s="59"/>
      <c r="D43" s="37"/>
      <c r="E43" s="50"/>
      <c r="F43" s="50"/>
      <c r="G43" s="50"/>
      <c r="H43" s="37"/>
      <c r="I43" s="37"/>
      <c r="J43" s="37"/>
      <c r="K43" s="37"/>
      <c r="L43" s="38"/>
      <c r="M43" s="72"/>
      <c r="N43" s="28">
        <f>SUM(N44:N48)</f>
        <v>340500954</v>
      </c>
      <c r="O43" s="81"/>
      <c r="P43" s="81"/>
      <c r="Q43" s="90"/>
      <c r="R43" s="93"/>
      <c r="S43" s="93"/>
      <c r="T43" s="3">
        <f>SUM(T44:T48)</f>
        <v>324133328.64419407</v>
      </c>
      <c r="U43" s="35">
        <v>340500954</v>
      </c>
      <c r="V43" s="43">
        <f>U43/N43</f>
        <v>1</v>
      </c>
      <c r="W43" s="40">
        <f>V43*T43</f>
        <v>324133328.64419407</v>
      </c>
      <c r="X43" s="42">
        <v>339048470.13</v>
      </c>
      <c r="Y43" s="96">
        <f>W43/X43*100</f>
        <v>95.600882233715112</v>
      </c>
      <c r="Z43" s="95"/>
      <c r="AA43" s="25"/>
    </row>
    <row r="44" spans="1:27" x14ac:dyDescent="0.25">
      <c r="A44" s="32"/>
      <c r="B44" s="32"/>
      <c r="C44" s="60"/>
      <c r="D44" s="32" t="s">
        <v>14</v>
      </c>
      <c r="E44" s="53" t="e">
        <f ca="1">_xll.BDP(H44,$E$1)</f>
        <v>#NAME?</v>
      </c>
      <c r="F44" s="49" t="e">
        <f ca="1">_xll.BDP(H44,$F$1)</f>
        <v>#NAME?</v>
      </c>
      <c r="G44" s="49" t="e">
        <f ca="1">_xll.BDP(H44,$G$1)</f>
        <v>#NAME?</v>
      </c>
      <c r="H44" s="26" t="str">
        <f>C44&amp;" Mtge"</f>
        <v xml:space="preserve"> Mtge</v>
      </c>
      <c r="I44" s="32" t="s">
        <v>20</v>
      </c>
      <c r="J44" s="32"/>
      <c r="K44" s="32"/>
      <c r="L44" s="36" t="s">
        <v>10</v>
      </c>
      <c r="M44" s="71">
        <f>INDEX('CLOIE Pre and Post Crisis Index'!$A:$M,MATCH('08.31.2016'!$O$2,'CLOIE Pre and Post Crisis Index'!$A:$A,0),MATCH('08.31.2016'!L44,'CLOIE Pre and Post Crisis Index'!$1:$1,0))</f>
        <v>166.07346999999999</v>
      </c>
      <c r="N44" s="33">
        <v>84600000</v>
      </c>
      <c r="O44" s="77">
        <v>100.9104</v>
      </c>
      <c r="P44" s="84"/>
      <c r="Q44" s="91"/>
      <c r="R44" s="91">
        <f>IF(Q44="Y",P44,O44)</f>
        <v>100.9104</v>
      </c>
      <c r="S44" s="91" t="str">
        <f>IF(Q44="Y",K44,I44)</f>
        <v>JPM Pricing Direct</v>
      </c>
      <c r="T44" s="1">
        <f>IF(Q44="Y",P44*N44/100,O44*N44/100)</f>
        <v>85370198.400000006</v>
      </c>
      <c r="U44" s="88">
        <f>T44</f>
        <v>85370198.400000006</v>
      </c>
      <c r="V44" s="21"/>
      <c r="W44" s="41"/>
      <c r="X44" s="26"/>
      <c r="Y44" s="97"/>
      <c r="Z44" s="95"/>
      <c r="AA44" s="25"/>
    </row>
    <row r="45" spans="1:27" x14ac:dyDescent="0.25">
      <c r="A45" s="32"/>
      <c r="B45" s="32"/>
      <c r="C45" s="60"/>
      <c r="D45" s="32" t="s">
        <v>13</v>
      </c>
      <c r="E45" s="53" t="e">
        <f ca="1">_xll.BDP(H45,$E$1)</f>
        <v>#NAME?</v>
      </c>
      <c r="F45" s="49" t="e">
        <f ca="1">_xll.BDP(H45,$F$1)</f>
        <v>#NAME?</v>
      </c>
      <c r="G45" s="49" t="e">
        <f ca="1">_xll.BDP(H45,$G$1)</f>
        <v>#NAME?</v>
      </c>
      <c r="H45" s="26" t="str">
        <f>C45&amp;" Mtge"</f>
        <v xml:space="preserve"> Mtge</v>
      </c>
      <c r="I45" s="32" t="s">
        <v>20</v>
      </c>
      <c r="J45" s="32"/>
      <c r="K45" s="32"/>
      <c r="L45" s="8" t="s">
        <v>5</v>
      </c>
      <c r="M45" s="71">
        <f>INDEX('CLOIE Pre and Post Crisis Index'!$A:$M,MATCH('08.31.2016'!$O$2,'CLOIE Pre and Post Crisis Index'!$A:$A,0),MATCH('08.31.2016'!L45,'CLOIE Pre and Post Crisis Index'!$1:$1,0))</f>
        <v>359.72536000000002</v>
      </c>
      <c r="N45" s="33">
        <v>53300000</v>
      </c>
      <c r="O45" s="77">
        <v>101.7534</v>
      </c>
      <c r="P45" s="84"/>
      <c r="Q45" s="91"/>
      <c r="R45" s="91">
        <f>IF(Q45="Y",P45,O45)</f>
        <v>101.7534</v>
      </c>
      <c r="S45" s="91" t="str">
        <f>IF(Q45="Y",K45,I45)</f>
        <v>JPM Pricing Direct</v>
      </c>
      <c r="T45" s="1">
        <f>IF(Q45="Y",P45*N45/100,O45*N45/100)</f>
        <v>54234562.200000003</v>
      </c>
      <c r="U45" s="88">
        <f>U44+T45</f>
        <v>139604760.60000002</v>
      </c>
      <c r="V45" s="21"/>
      <c r="W45" s="41"/>
      <c r="X45" s="26"/>
      <c r="Y45" s="97"/>
      <c r="Z45" s="95"/>
      <c r="AA45" s="25"/>
    </row>
    <row r="46" spans="1:27" x14ac:dyDescent="0.25">
      <c r="A46" s="32"/>
      <c r="B46" s="32"/>
      <c r="C46" s="60"/>
      <c r="D46" s="32" t="s">
        <v>15</v>
      </c>
      <c r="E46" s="53" t="e">
        <f ca="1">_xll.BDP(H46,$E$1)</f>
        <v>#NAME?</v>
      </c>
      <c r="F46" s="49" t="e">
        <f ca="1">_xll.BDP(H46,$F$1)</f>
        <v>#NAME?</v>
      </c>
      <c r="G46" s="49" t="e">
        <f ca="1">_xll.BDP(H46,$G$1)</f>
        <v>#NAME?</v>
      </c>
      <c r="H46" s="26" t="str">
        <f>C46&amp;" Mtge"</f>
        <v xml:space="preserve"> Mtge</v>
      </c>
      <c r="I46" s="32" t="s">
        <v>20</v>
      </c>
      <c r="J46" s="32"/>
      <c r="K46" s="32"/>
      <c r="L46" s="8" t="s">
        <v>6</v>
      </c>
      <c r="M46" s="71">
        <f>INDEX('CLOIE Pre and Post Crisis Index'!$A:$M,MATCH('08.31.2016'!$O$2,'CLOIE Pre and Post Crisis Index'!$A:$A,0),MATCH('08.31.2016'!L46,'CLOIE Pre and Post Crisis Index'!$1:$1,0))</f>
        <v>550.64362000000006</v>
      </c>
      <c r="N46" s="33">
        <v>68400000</v>
      </c>
      <c r="O46" s="77">
        <v>100.2967</v>
      </c>
      <c r="P46" s="84"/>
      <c r="Q46" s="91"/>
      <c r="R46" s="91">
        <f>IF(Q46="Y",P46,O46)</f>
        <v>100.2967</v>
      </c>
      <c r="S46" s="91" t="str">
        <f>IF(Q46="Y",K46,I46)</f>
        <v>JPM Pricing Direct</v>
      </c>
      <c r="T46" s="1">
        <f>IF(Q46="Y",P46*N46/100,O46*N46/100)</f>
        <v>68602942.799999997</v>
      </c>
      <c r="U46" s="88">
        <f>U45+T46</f>
        <v>208207703.40000004</v>
      </c>
      <c r="V46" s="21"/>
      <c r="W46" s="41"/>
      <c r="X46" s="26"/>
      <c r="Y46" s="97"/>
      <c r="Z46" s="95"/>
      <c r="AA46" s="25"/>
    </row>
    <row r="47" spans="1:27" x14ac:dyDescent="0.25">
      <c r="A47" s="32"/>
      <c r="B47" s="32"/>
      <c r="C47" s="60"/>
      <c r="D47" s="32" t="s">
        <v>16</v>
      </c>
      <c r="E47" s="53" t="e">
        <f ca="1">_xll.BDP(H47,$E$1)</f>
        <v>#NAME?</v>
      </c>
      <c r="F47" s="49" t="e">
        <f ca="1">_xll.BDP(H47,$F$1)</f>
        <v>#NAME?</v>
      </c>
      <c r="G47" s="49" t="e">
        <f ca="1">_xll.BDP(H47,$G$1)</f>
        <v>#NAME?</v>
      </c>
      <c r="H47" s="26" t="str">
        <f>C47&amp;" Mtge"</f>
        <v xml:space="preserve"> Mtge</v>
      </c>
      <c r="I47" s="32" t="s">
        <v>20</v>
      </c>
      <c r="J47" s="32"/>
      <c r="K47" s="32"/>
      <c r="L47" s="8" t="s">
        <v>7</v>
      </c>
      <c r="M47" s="71">
        <f>INDEX('CLOIE Pre and Post Crisis Index'!$A:$M,MATCH('08.31.2016'!$O$2,'CLOIE Pre and Post Crisis Index'!$A:$A,0),MATCH('08.31.2016'!L47,'CLOIE Pre and Post Crisis Index'!$1:$1,0))</f>
        <v>927.82632000000001</v>
      </c>
      <c r="N47" s="33">
        <v>65400000</v>
      </c>
      <c r="O47" s="77">
        <v>92.142899999999997</v>
      </c>
      <c r="P47" s="84"/>
      <c r="Q47" s="91"/>
      <c r="R47" s="91">
        <f>IF(Q47="Y",P47,O47)</f>
        <v>92.142899999999997</v>
      </c>
      <c r="S47" s="91" t="str">
        <f>IF(Q47="Y",K47,I47)</f>
        <v>JPM Pricing Direct</v>
      </c>
      <c r="T47" s="1">
        <f>IF(Q47="Y",P47*N47/100,O47*N47/100)</f>
        <v>60261456.600000001</v>
      </c>
      <c r="U47" s="88">
        <f t="shared" ref="U47:U48" si="3">U46+T47</f>
        <v>268469160.00000006</v>
      </c>
      <c r="V47" s="21"/>
      <c r="W47" s="41"/>
      <c r="X47" s="26"/>
      <c r="Y47" s="97"/>
      <c r="Z47" s="95"/>
      <c r="AA47" s="25"/>
    </row>
    <row r="48" spans="1:27" x14ac:dyDescent="0.25">
      <c r="A48" s="32"/>
      <c r="B48" s="32"/>
      <c r="C48" s="60"/>
      <c r="D48" s="32" t="s">
        <v>3</v>
      </c>
      <c r="E48" s="53" t="e">
        <f ca="1">_xll.BDP(H48,$E$1)</f>
        <v>#NAME?</v>
      </c>
      <c r="F48" s="49" t="e">
        <f ca="1">_xll.BDP(H48,$F$1)</f>
        <v>#NAME?</v>
      </c>
      <c r="G48" s="49" t="e">
        <f ca="1">_xll.BDP(H48,$G$1)</f>
        <v>#NAME?</v>
      </c>
      <c r="H48" s="26" t="str">
        <f>C48&amp;" Mtge"</f>
        <v xml:space="preserve"> Mtge</v>
      </c>
      <c r="I48" s="32" t="s">
        <v>20</v>
      </c>
      <c r="J48" s="32"/>
      <c r="K48" s="32" t="s">
        <v>49</v>
      </c>
      <c r="L48" s="8" t="s">
        <v>21</v>
      </c>
      <c r="M48" s="70">
        <v>0.1</v>
      </c>
      <c r="N48" s="33">
        <v>68800954</v>
      </c>
      <c r="O48" s="80">
        <v>80.906099999999995</v>
      </c>
      <c r="P48" s="77">
        <v>89</v>
      </c>
      <c r="Q48" s="91"/>
      <c r="R48" s="94">
        <f>IF(Q48="Y",P48,O48)</f>
        <v>80.906099999999995</v>
      </c>
      <c r="S48" s="94" t="str">
        <f>IF(Q48="Y",K48,I48)</f>
        <v>JPM Pricing Direct</v>
      </c>
      <c r="T48" s="1">
        <f>IF(Q48="Y",P48*N48/100,O48*N48/100)</f>
        <v>55664168.644193992</v>
      </c>
      <c r="U48" s="88">
        <f t="shared" si="3"/>
        <v>324133328.64419407</v>
      </c>
      <c r="V48" s="89" t="b">
        <f>U48=T43</f>
        <v>1</v>
      </c>
      <c r="W48" s="41"/>
      <c r="X48" s="26"/>
      <c r="Y48" s="97"/>
      <c r="Z48" s="95"/>
      <c r="AA48" s="25"/>
    </row>
    <row r="49" spans="1:27" x14ac:dyDescent="0.25">
      <c r="A49" s="37"/>
      <c r="B49" s="37"/>
      <c r="C49" s="59"/>
      <c r="D49" s="37"/>
      <c r="E49" s="50"/>
      <c r="F49" s="50"/>
      <c r="G49" s="50"/>
      <c r="H49" s="37"/>
      <c r="I49" s="37"/>
      <c r="J49" s="37"/>
      <c r="K49" s="37"/>
      <c r="L49" s="38"/>
      <c r="M49" s="72"/>
      <c r="N49" s="28">
        <f>SUM(N50:N53)</f>
        <v>99787500</v>
      </c>
      <c r="O49" s="81"/>
      <c r="P49" s="81"/>
      <c r="Q49" s="90"/>
      <c r="R49" s="93"/>
      <c r="S49" s="93"/>
      <c r="T49" s="3">
        <f>SUM(T50:T53)</f>
        <v>100112802.8</v>
      </c>
      <c r="U49" s="35">
        <v>99787500</v>
      </c>
      <c r="V49" s="43">
        <f>U49/N49</f>
        <v>1</v>
      </c>
      <c r="W49" s="40">
        <f>V49*T49</f>
        <v>100112802.8</v>
      </c>
      <c r="X49" s="42">
        <v>99787500</v>
      </c>
      <c r="Y49" s="96">
        <f>W49/X49*100</f>
        <v>100.32599554052362</v>
      </c>
      <c r="Z49" s="95"/>
      <c r="AA49" s="25"/>
    </row>
    <row r="50" spans="1:27" x14ac:dyDescent="0.25">
      <c r="A50" s="32"/>
      <c r="B50" s="32"/>
      <c r="C50" s="60"/>
      <c r="D50" s="32" t="s">
        <v>13</v>
      </c>
      <c r="E50" s="53" t="e">
        <f ca="1">_xll.BDP(H50,$E$1)</f>
        <v>#NAME?</v>
      </c>
      <c r="F50" s="49" t="e">
        <f ca="1">_xll.BDP(H50,$F$1)</f>
        <v>#NAME?</v>
      </c>
      <c r="G50" s="49" t="e">
        <f ca="1">_xll.BDP(H50,$G$1)</f>
        <v>#NAME?</v>
      </c>
      <c r="H50" s="26" t="str">
        <f>C50&amp;" Mtge"</f>
        <v xml:space="preserve"> Mtge</v>
      </c>
      <c r="I50" s="32" t="s">
        <v>20</v>
      </c>
      <c r="J50" s="32"/>
      <c r="K50" s="32" t="s">
        <v>51</v>
      </c>
      <c r="L50" s="8" t="s">
        <v>5</v>
      </c>
      <c r="M50" s="71">
        <f>INDEX('CLOIE Pre and Post Crisis Index'!$A:$M,MATCH('08.31.2016'!$O$2,'CLOIE Pre and Post Crisis Index'!$A:$A,0),MATCH('08.31.2016'!L50,'CLOIE Pre and Post Crisis Index'!$1:$1,0))</f>
        <v>359.72536000000002</v>
      </c>
      <c r="N50" s="33">
        <v>27550000</v>
      </c>
      <c r="O50" s="77">
        <v>100.92310000000001</v>
      </c>
      <c r="P50" s="77">
        <v>100</v>
      </c>
      <c r="Q50" s="91"/>
      <c r="R50" s="91">
        <f>IF(Q50="Y",P50,O50)</f>
        <v>100.92310000000001</v>
      </c>
      <c r="S50" s="91" t="str">
        <f>IF(Q50="Y",K50,I50)</f>
        <v>JPM Pricing Direct</v>
      </c>
      <c r="T50" s="1">
        <f>IF(Q50="Y",P50*N50/100,O50*N50/100)</f>
        <v>27804314.050000001</v>
      </c>
      <c r="U50" s="88">
        <f>T50</f>
        <v>27804314.050000001</v>
      </c>
      <c r="V50" s="21"/>
      <c r="W50" s="41"/>
      <c r="X50" s="26"/>
      <c r="Y50" s="97"/>
      <c r="Z50" s="95"/>
      <c r="AA50" s="25"/>
    </row>
    <row r="51" spans="1:27" x14ac:dyDescent="0.25">
      <c r="A51" s="32"/>
      <c r="B51" s="32"/>
      <c r="C51" s="60"/>
      <c r="D51" s="32" t="s">
        <v>15</v>
      </c>
      <c r="E51" s="53" t="e">
        <f ca="1">_xll.BDP(H51,$E$1)</f>
        <v>#NAME?</v>
      </c>
      <c r="F51" s="49" t="e">
        <f ca="1">_xll.BDP(H51,$F$1)</f>
        <v>#NAME?</v>
      </c>
      <c r="G51" s="49" t="e">
        <f ca="1">_xll.BDP(H51,$G$1)</f>
        <v>#NAME?</v>
      </c>
      <c r="H51" s="26" t="str">
        <f>C51&amp;" Mtge"</f>
        <v xml:space="preserve"> Mtge</v>
      </c>
      <c r="I51" s="32" t="s">
        <v>20</v>
      </c>
      <c r="J51" s="32"/>
      <c r="K51" s="32" t="s">
        <v>51</v>
      </c>
      <c r="L51" s="8" t="s">
        <v>6</v>
      </c>
      <c r="M51" s="71">
        <f>INDEX('CLOIE Pre and Post Crisis Index'!$A:$M,MATCH('08.31.2016'!$O$2,'CLOIE Pre and Post Crisis Index'!$A:$A,0),MATCH('08.31.2016'!L51,'CLOIE Pre and Post Crisis Index'!$1:$1,0))</f>
        <v>550.64362000000006</v>
      </c>
      <c r="N51" s="33">
        <v>29687500</v>
      </c>
      <c r="O51" s="77">
        <v>100.1404</v>
      </c>
      <c r="P51" s="77">
        <v>98.5</v>
      </c>
      <c r="Q51" s="91"/>
      <c r="R51" s="91">
        <f>IF(Q51="Y",P51,O51)</f>
        <v>100.1404</v>
      </c>
      <c r="S51" s="91" t="str">
        <f>IF(Q51="Y",K51,I51)</f>
        <v>JPM Pricing Direct</v>
      </c>
      <c r="T51" s="1">
        <f>IF(Q51="Y",P51*N51/100,O51*N51/100)</f>
        <v>29729181.25</v>
      </c>
      <c r="U51" s="88">
        <f>U50+T51</f>
        <v>57533495.299999997</v>
      </c>
      <c r="V51" s="21"/>
      <c r="W51" s="41"/>
      <c r="X51" s="26"/>
      <c r="Y51" s="97"/>
      <c r="Z51" s="95"/>
      <c r="AA51" s="25"/>
    </row>
    <row r="52" spans="1:27" x14ac:dyDescent="0.25">
      <c r="A52" s="32"/>
      <c r="B52" s="32"/>
      <c r="C52" s="60"/>
      <c r="D52" s="32" t="s">
        <v>16</v>
      </c>
      <c r="E52" s="53" t="e">
        <f ca="1">_xll.BDP(H52,$E$1)</f>
        <v>#NAME?</v>
      </c>
      <c r="F52" s="49" t="e">
        <f ca="1">_xll.BDP(H52,$F$1)</f>
        <v>#NAME?</v>
      </c>
      <c r="G52" s="49" t="e">
        <f ca="1">_xll.BDP(H52,$G$1)</f>
        <v>#NAME?</v>
      </c>
      <c r="H52" s="26" t="str">
        <f>C52&amp;" Mtge"</f>
        <v xml:space="preserve"> Mtge</v>
      </c>
      <c r="I52" s="32" t="s">
        <v>20</v>
      </c>
      <c r="J52" s="32"/>
      <c r="K52" s="32" t="s">
        <v>51</v>
      </c>
      <c r="L52" s="8" t="s">
        <v>7</v>
      </c>
      <c r="M52" s="71">
        <f>INDEX('CLOIE Pre and Post Crisis Index'!$A:$M,MATCH('08.31.2016'!$O$2,'CLOIE Pre and Post Crisis Index'!$A:$A,0),MATCH('08.31.2016'!L52,'CLOIE Pre and Post Crisis Index'!$1:$1,0))</f>
        <v>927.82632000000001</v>
      </c>
      <c r="N52" s="33">
        <v>9500000</v>
      </c>
      <c r="O52" s="77">
        <v>100.3085</v>
      </c>
      <c r="P52" s="77">
        <v>98.5</v>
      </c>
      <c r="Q52" s="91"/>
      <c r="R52" s="91">
        <f>IF(Q52="Y",P52,O52)</f>
        <v>100.3085</v>
      </c>
      <c r="S52" s="91" t="str">
        <f>IF(Q52="Y",K52,I52)</f>
        <v>JPM Pricing Direct</v>
      </c>
      <c r="T52" s="1">
        <f>IF(Q52="Y",P52*N52/100,O52*N52/100)</f>
        <v>9529307.5</v>
      </c>
      <c r="U52" s="88">
        <f>U51+T52</f>
        <v>67062802.799999997</v>
      </c>
      <c r="V52" s="21"/>
      <c r="W52" s="41"/>
      <c r="X52" s="26"/>
      <c r="Y52" s="97"/>
      <c r="Z52" s="95"/>
      <c r="AA52" s="25"/>
    </row>
    <row r="53" spans="1:27" x14ac:dyDescent="0.25">
      <c r="A53" s="32"/>
      <c r="B53" s="32"/>
      <c r="C53" s="60"/>
      <c r="D53" s="32" t="s">
        <v>3</v>
      </c>
      <c r="E53" s="53" t="e">
        <f ca="1">_xll.BDP(H53,$E$1)</f>
        <v>#NAME?</v>
      </c>
      <c r="F53" s="49" t="e">
        <f ca="1">_xll.BDP(H53,$F$1)</f>
        <v>#NAME?</v>
      </c>
      <c r="G53" s="49" t="e">
        <f ca="1">_xll.BDP(H53,$G$1)</f>
        <v>#NAME?</v>
      </c>
      <c r="H53" s="26" t="str">
        <f>C53&amp;" Mtge"</f>
        <v xml:space="preserve"> Mtge</v>
      </c>
      <c r="I53" s="32" t="s">
        <v>41</v>
      </c>
      <c r="J53" s="32" t="s">
        <v>50</v>
      </c>
      <c r="K53" s="32"/>
      <c r="L53" s="8" t="s">
        <v>21</v>
      </c>
      <c r="M53" s="70">
        <v>0.1</v>
      </c>
      <c r="N53" s="33">
        <v>33050000</v>
      </c>
      <c r="O53" s="80">
        <v>100</v>
      </c>
      <c r="P53" s="84"/>
      <c r="Q53" s="91"/>
      <c r="R53" s="94">
        <f>IF(Q53="Y",P53,O53)</f>
        <v>100</v>
      </c>
      <c r="S53" s="94" t="str">
        <f>IF(Q53="Y",K53,I53)</f>
        <v>Broker Quote</v>
      </c>
      <c r="T53" s="1">
        <f>IF(Q53="Y",P53*N53/100,O53*N53/100)</f>
        <v>33050000</v>
      </c>
      <c r="U53" s="88">
        <f>U52+T53</f>
        <v>100112802.8</v>
      </c>
      <c r="V53" s="89" t="b">
        <f>U53=T49</f>
        <v>1</v>
      </c>
      <c r="W53" s="41"/>
      <c r="X53" s="26"/>
      <c r="Y53" s="97"/>
      <c r="Z53" s="95"/>
      <c r="AA53" s="25"/>
    </row>
    <row r="54" spans="1:27" s="5" customFormat="1" x14ac:dyDescent="0.25">
      <c r="A54" s="37"/>
      <c r="B54" s="37"/>
      <c r="C54" s="59"/>
      <c r="D54" s="37"/>
      <c r="E54" s="50"/>
      <c r="F54" s="50"/>
      <c r="G54" s="50"/>
      <c r="H54" s="37"/>
      <c r="I54" s="37"/>
      <c r="J54" s="37"/>
      <c r="K54" s="37"/>
      <c r="L54" s="38"/>
      <c r="M54" s="72"/>
      <c r="N54" s="28">
        <f>SUM(N55:N59)</f>
        <v>177350000</v>
      </c>
      <c r="O54" s="81"/>
      <c r="P54" s="81"/>
      <c r="Q54" s="90"/>
      <c r="R54" s="93"/>
      <c r="S54" s="93"/>
      <c r="T54" s="3">
        <f>SUM(T55:T59)</f>
        <v>168453095.69999999</v>
      </c>
      <c r="U54" s="35">
        <v>177350000</v>
      </c>
      <c r="V54" s="43">
        <f>U54/N54</f>
        <v>1</v>
      </c>
      <c r="W54" s="40">
        <f>V54*T54</f>
        <v>168453095.69999999</v>
      </c>
      <c r="X54" s="42">
        <v>177350000</v>
      </c>
      <c r="Y54" s="96">
        <f>W54/X54*100</f>
        <v>94.983420186072735</v>
      </c>
      <c r="Z54" s="95"/>
    </row>
    <row r="55" spans="1:27" s="5" customFormat="1" x14ac:dyDescent="0.25">
      <c r="A55" s="32"/>
      <c r="B55" s="32"/>
      <c r="C55" s="60"/>
      <c r="D55" s="32" t="s">
        <v>36</v>
      </c>
      <c r="E55" s="53" t="e">
        <f ca="1">_xll.BDP(H55,$E$1)</f>
        <v>#NAME?</v>
      </c>
      <c r="F55" s="49" t="e">
        <f ca="1">_xll.BDP(H55,$F$1)</f>
        <v>#NAME?</v>
      </c>
      <c r="G55" s="49" t="e">
        <f ca="1">_xll.BDP(H55,$G$1)</f>
        <v>#NAME?</v>
      </c>
      <c r="H55" s="26" t="str">
        <f>C55&amp;" Mtge"</f>
        <v xml:space="preserve"> Mtge</v>
      </c>
      <c r="I55" s="32" t="s">
        <v>20</v>
      </c>
      <c r="J55" s="32"/>
      <c r="K55" s="32" t="s">
        <v>49</v>
      </c>
      <c r="L55" s="36" t="s">
        <v>10</v>
      </c>
      <c r="M55" s="71">
        <f>INDEX('CLOIE Pre and Post Crisis Index'!$A:$M,MATCH('08.31.2016'!$O$2,'CLOIE Pre and Post Crisis Index'!$A:$A,0),MATCH('08.31.2016'!L55,'CLOIE Pre and Post Crisis Index'!$1:$1,0))</f>
        <v>166.07346999999999</v>
      </c>
      <c r="N55" s="33">
        <v>74000000</v>
      </c>
      <c r="O55" s="77">
        <v>99.373400000000004</v>
      </c>
      <c r="P55" s="77">
        <v>99.5</v>
      </c>
      <c r="Q55" s="91"/>
      <c r="R55" s="91">
        <f>IF(Q55="Y",P55,O55)</f>
        <v>99.373400000000004</v>
      </c>
      <c r="S55" s="91" t="str">
        <f>IF(Q55="Y",K55,I55)</f>
        <v>JPM Pricing Direct</v>
      </c>
      <c r="T55" s="1">
        <f>IF(Q55="Y",P55*N55/100,O55*N55/100)</f>
        <v>73536316</v>
      </c>
      <c r="U55" s="88">
        <f>T55</f>
        <v>73536316</v>
      </c>
      <c r="V55" s="21"/>
      <c r="W55" s="41"/>
      <c r="X55" s="26"/>
      <c r="Y55" s="97"/>
      <c r="Z55" s="95"/>
    </row>
    <row r="56" spans="1:27" s="5" customFormat="1" x14ac:dyDescent="0.25">
      <c r="A56" s="32"/>
      <c r="B56" s="32"/>
      <c r="C56" s="60"/>
      <c r="D56" s="32" t="s">
        <v>14</v>
      </c>
      <c r="E56" s="53" t="e">
        <f ca="1">_xll.BDP(H56,$E$1)</f>
        <v>#NAME?</v>
      </c>
      <c r="F56" s="49" t="e">
        <f ca="1">_xll.BDP(H56,$F$1)</f>
        <v>#NAME?</v>
      </c>
      <c r="G56" s="49" t="e">
        <f ca="1">_xll.BDP(H56,$G$1)</f>
        <v>#NAME?</v>
      </c>
      <c r="H56" s="26" t="str">
        <f>C56&amp;" Mtge"</f>
        <v xml:space="preserve"> Mtge</v>
      </c>
      <c r="I56" s="32" t="s">
        <v>20</v>
      </c>
      <c r="J56" s="32"/>
      <c r="K56" s="32" t="s">
        <v>49</v>
      </c>
      <c r="L56" s="36" t="s">
        <v>11</v>
      </c>
      <c r="M56" s="71">
        <f>INDEX('CLOIE Pre and Post Crisis Index'!$A:$M,MATCH('08.31.2016'!$O$2,'CLOIE Pre and Post Crisis Index'!$A:$A,0),MATCH('08.31.2016'!L56,'CLOIE Pre and Post Crisis Index'!$1:$1,0))</f>
        <v>247.98795000000001</v>
      </c>
      <c r="N56" s="33">
        <v>41100000</v>
      </c>
      <c r="O56" s="77">
        <v>99.997699999999995</v>
      </c>
      <c r="P56" s="77">
        <v>99.5</v>
      </c>
      <c r="Q56" s="91"/>
      <c r="R56" s="91">
        <f>IF(Q56="Y",P56,O56)</f>
        <v>99.997699999999995</v>
      </c>
      <c r="S56" s="91" t="str">
        <f>IF(Q56="Y",K56,I56)</f>
        <v>JPM Pricing Direct</v>
      </c>
      <c r="T56" s="1">
        <f>IF(Q56="Y",P56*N56/100,O56*N56/100)</f>
        <v>41099054.700000003</v>
      </c>
      <c r="U56" s="88">
        <f>U55+T56</f>
        <v>114635370.7</v>
      </c>
      <c r="V56" s="21"/>
      <c r="W56" s="41"/>
      <c r="X56" s="26"/>
      <c r="Y56" s="97"/>
      <c r="Z56" s="95"/>
    </row>
    <row r="57" spans="1:27" s="5" customFormat="1" x14ac:dyDescent="0.25">
      <c r="A57" s="32"/>
      <c r="B57" s="32"/>
      <c r="C57" s="60"/>
      <c r="D57" s="32" t="s">
        <v>13</v>
      </c>
      <c r="E57" s="53" t="e">
        <f ca="1">_xll.BDP(H57,$E$1)</f>
        <v>#NAME?</v>
      </c>
      <c r="F57" s="49" t="e">
        <f ca="1">_xll.BDP(H57,$F$1)</f>
        <v>#NAME?</v>
      </c>
      <c r="G57" s="49" t="e">
        <f ca="1">_xll.BDP(H57,$G$1)</f>
        <v>#NAME?</v>
      </c>
      <c r="H57" s="26" t="str">
        <f>C57&amp;" Mtge"</f>
        <v xml:space="preserve"> Mtge</v>
      </c>
      <c r="I57" s="32" t="s">
        <v>20</v>
      </c>
      <c r="J57" s="32"/>
      <c r="K57" s="32" t="s">
        <v>49</v>
      </c>
      <c r="L57" s="8" t="s">
        <v>5</v>
      </c>
      <c r="M57" s="71">
        <f>INDEX('CLOIE Pre and Post Crisis Index'!$A:$M,MATCH('08.31.2016'!$O$2,'CLOIE Pre and Post Crisis Index'!$A:$A,0),MATCH('08.31.2016'!L57,'CLOIE Pre and Post Crisis Index'!$1:$1,0))</f>
        <v>359.72536000000002</v>
      </c>
      <c r="N57" s="33">
        <v>8000000</v>
      </c>
      <c r="O57" s="77">
        <v>99.433000000000007</v>
      </c>
      <c r="P57" s="77">
        <v>98</v>
      </c>
      <c r="Q57" s="91"/>
      <c r="R57" s="91">
        <f>IF(Q57="Y",P57,O57)</f>
        <v>99.433000000000007</v>
      </c>
      <c r="S57" s="91" t="str">
        <f>IF(Q57="Y",K57,I57)</f>
        <v>JPM Pricing Direct</v>
      </c>
      <c r="T57" s="1">
        <f>IF(Q57="Y",P57*N57/100,O57*N57/100)</f>
        <v>7954640</v>
      </c>
      <c r="U57" s="88">
        <f>U56+T57</f>
        <v>122590010.7</v>
      </c>
      <c r="V57" s="21"/>
      <c r="W57" s="41"/>
      <c r="X57" s="26"/>
      <c r="Y57" s="97"/>
      <c r="Z57" s="95"/>
    </row>
    <row r="58" spans="1:27" s="5" customFormat="1" x14ac:dyDescent="0.25">
      <c r="A58" s="32"/>
      <c r="B58" s="32"/>
      <c r="C58" s="60"/>
      <c r="D58" s="32" t="s">
        <v>15</v>
      </c>
      <c r="E58" s="53" t="e">
        <f ca="1">_xll.BDP(H58,$E$1)</f>
        <v>#NAME?</v>
      </c>
      <c r="F58" s="49" t="e">
        <f ca="1">_xll.BDP(H58,$F$1)</f>
        <v>#NAME?</v>
      </c>
      <c r="G58" s="49" t="e">
        <f ca="1">_xll.BDP(H58,$G$1)</f>
        <v>#NAME?</v>
      </c>
      <c r="H58" s="26" t="str">
        <f>C58&amp;" Mtge"</f>
        <v xml:space="preserve"> Mtge</v>
      </c>
      <c r="I58" s="32" t="s">
        <v>20</v>
      </c>
      <c r="J58" s="32"/>
      <c r="K58" s="32" t="s">
        <v>49</v>
      </c>
      <c r="L58" s="8" t="s">
        <v>6</v>
      </c>
      <c r="M58" s="71">
        <f>INDEX('CLOIE Pre and Post Crisis Index'!$A:$M,MATCH('08.31.2016'!$O$2,'CLOIE Pre and Post Crisis Index'!$A:$A,0),MATCH('08.31.2016'!L58,'CLOIE Pre and Post Crisis Index'!$1:$1,0))</f>
        <v>550.64362000000006</v>
      </c>
      <c r="N58" s="33">
        <v>7500000</v>
      </c>
      <c r="O58" s="77">
        <v>87.907799999999995</v>
      </c>
      <c r="P58" s="77">
        <v>99.138999938964844</v>
      </c>
      <c r="Q58" s="91"/>
      <c r="R58" s="91">
        <f>IF(Q58="Y",P58,O58)</f>
        <v>87.907799999999995</v>
      </c>
      <c r="S58" s="91" t="str">
        <f>IF(Q58="Y",K58,I58)</f>
        <v>JPM Pricing Direct</v>
      </c>
      <c r="T58" s="1">
        <f>IF(Q58="Y",P58*N58/100,O58*N58/100)</f>
        <v>6593085</v>
      </c>
      <c r="U58" s="88">
        <f t="shared" ref="U58:U59" si="4">U57+T58</f>
        <v>129183095.7</v>
      </c>
      <c r="V58" s="21"/>
      <c r="W58" s="41"/>
      <c r="X58" s="26"/>
      <c r="Y58" s="97"/>
      <c r="Z58" s="95"/>
    </row>
    <row r="59" spans="1:27" s="5" customFormat="1" x14ac:dyDescent="0.25">
      <c r="A59" s="32"/>
      <c r="B59" s="32"/>
      <c r="C59" s="60"/>
      <c r="D59" s="32" t="s">
        <v>3</v>
      </c>
      <c r="E59" s="53" t="e">
        <f ca="1">_xll.BDP(H59,$E$1)</f>
        <v>#NAME?</v>
      </c>
      <c r="F59" s="49" t="e">
        <f ca="1">_xll.BDP(H59,$F$1)</f>
        <v>#NAME?</v>
      </c>
      <c r="G59" s="49" t="e">
        <f ca="1">_xll.BDP(H59,$G$1)</f>
        <v>#NAME?</v>
      </c>
      <c r="H59" s="26" t="str">
        <f>C59&amp;" Mtge"</f>
        <v xml:space="preserve"> Mtge</v>
      </c>
      <c r="I59" s="32" t="s">
        <v>41</v>
      </c>
      <c r="J59" s="32" t="s">
        <v>48</v>
      </c>
      <c r="K59" s="32"/>
      <c r="L59" s="8" t="s">
        <v>21</v>
      </c>
      <c r="M59" s="70">
        <v>0.1</v>
      </c>
      <c r="N59" s="33">
        <v>46750000</v>
      </c>
      <c r="O59" s="77">
        <v>84</v>
      </c>
      <c r="P59" s="84"/>
      <c r="Q59" s="91"/>
      <c r="R59" s="94">
        <f>IF(Q59="Y",P59,O59)</f>
        <v>84</v>
      </c>
      <c r="S59" s="94" t="str">
        <f>IF(Q59="Y",K59,I59)</f>
        <v>Broker Quote</v>
      </c>
      <c r="T59" s="1">
        <f>IF(Q59="Y",P59*N59/100,O59*N59/100)</f>
        <v>39270000</v>
      </c>
      <c r="U59" s="88">
        <f t="shared" si="4"/>
        <v>168453095.69999999</v>
      </c>
      <c r="V59" s="89" t="b">
        <f>U59=T54</f>
        <v>1</v>
      </c>
      <c r="W59" s="41"/>
      <c r="X59" s="26"/>
      <c r="Y59" s="97"/>
      <c r="Z59" s="95"/>
    </row>
    <row r="60" spans="1:27" s="5" customFormat="1" x14ac:dyDescent="0.25">
      <c r="A60" s="37"/>
      <c r="B60" s="37"/>
      <c r="C60" s="59"/>
      <c r="D60" s="37"/>
      <c r="E60" s="50"/>
      <c r="F60" s="50"/>
      <c r="G60" s="50"/>
      <c r="H60" s="37"/>
      <c r="I60" s="37"/>
      <c r="J60" s="37"/>
      <c r="K60" s="37"/>
      <c r="L60" s="38"/>
      <c r="M60" s="72"/>
      <c r="N60" s="28">
        <f>SUM(N61:N65)</f>
        <v>102771250</v>
      </c>
      <c r="O60" s="81"/>
      <c r="P60" s="81"/>
      <c r="Q60" s="90"/>
      <c r="R60" s="93"/>
      <c r="S60" s="93"/>
      <c r="T60" s="3">
        <f>SUM(T61:T65)</f>
        <v>101430100.15000001</v>
      </c>
      <c r="U60" s="35">
        <v>102771250</v>
      </c>
      <c r="V60" s="43">
        <f>U60/N60</f>
        <v>1</v>
      </c>
      <c r="W60" s="40">
        <f>V60*T60</f>
        <v>101430100.15000001</v>
      </c>
      <c r="X60" s="42">
        <v>102771250</v>
      </c>
      <c r="Y60" s="96">
        <f>W60/X60*100</f>
        <v>98.695014559032813</v>
      </c>
      <c r="Z60" s="95"/>
    </row>
    <row r="61" spans="1:27" s="5" customFormat="1" x14ac:dyDescent="0.25">
      <c r="A61" s="32"/>
      <c r="B61" s="32"/>
      <c r="C61" s="60"/>
      <c r="D61" s="32" t="s">
        <v>14</v>
      </c>
      <c r="E61" s="53" t="e">
        <f ca="1">_xll.BDP(H61,$E$1)</f>
        <v>#NAME?</v>
      </c>
      <c r="F61" s="49" t="e">
        <f ca="1">_xll.BDP(H61,$F$1)</f>
        <v>#NAME?</v>
      </c>
      <c r="G61" s="49" t="e">
        <f ca="1">_xll.BDP(H61,$G$1)</f>
        <v>#NAME?</v>
      </c>
      <c r="H61" s="26" t="str">
        <f t="shared" ref="H61:H80" si="5">C61&amp;" Mtge"</f>
        <v xml:space="preserve"> Mtge</v>
      </c>
      <c r="I61" s="32" t="s">
        <v>20</v>
      </c>
      <c r="J61" s="32"/>
      <c r="K61" s="32" t="s">
        <v>49</v>
      </c>
      <c r="L61" s="36" t="s">
        <v>10</v>
      </c>
      <c r="M61" s="71">
        <f>INDEX('CLOIE Pre and Post Crisis Index'!$A:$M,MATCH('08.31.2016'!$O$2,'CLOIE Pre and Post Crisis Index'!$A:$A,0),MATCH('08.31.2016'!L61,'CLOIE Pre and Post Crisis Index'!$1:$1,0))</f>
        <v>166.07346999999999</v>
      </c>
      <c r="N61" s="33">
        <v>1900000</v>
      </c>
      <c r="O61" s="77">
        <v>100.4033</v>
      </c>
      <c r="P61" s="77">
        <v>100.25</v>
      </c>
      <c r="Q61" s="91"/>
      <c r="R61" s="91">
        <f>IF(Q61="Y",P61,O61)</f>
        <v>100.4033</v>
      </c>
      <c r="S61" s="91" t="str">
        <f>IF(Q61="Y",K61,I61)</f>
        <v>JPM Pricing Direct</v>
      </c>
      <c r="T61" s="1">
        <f>IF(Q61="Y",P61*N61/100,O61*N61/100)</f>
        <v>1907662.7</v>
      </c>
      <c r="U61" s="88">
        <f>T61</f>
        <v>1907662.7</v>
      </c>
      <c r="V61" s="21"/>
      <c r="W61" s="41"/>
      <c r="X61" s="26"/>
      <c r="Y61" s="97"/>
      <c r="Z61" s="95"/>
    </row>
    <row r="62" spans="1:27" s="5" customFormat="1" x14ac:dyDescent="0.25">
      <c r="A62" s="32"/>
      <c r="B62" s="32"/>
      <c r="C62" s="60"/>
      <c r="D62" s="32" t="s">
        <v>13</v>
      </c>
      <c r="E62" s="53" t="e">
        <f ca="1">_xll.BDP(H62,$E$1)</f>
        <v>#NAME?</v>
      </c>
      <c r="F62" s="49" t="e">
        <f ca="1">_xll.BDP(H62,$F$1)</f>
        <v>#NAME?</v>
      </c>
      <c r="G62" s="49" t="e">
        <f ca="1">_xll.BDP(H62,$G$1)</f>
        <v>#NAME?</v>
      </c>
      <c r="H62" s="26" t="str">
        <f t="shared" si="5"/>
        <v xml:space="preserve"> Mtge</v>
      </c>
      <c r="I62" s="32" t="s">
        <v>20</v>
      </c>
      <c r="J62" s="32"/>
      <c r="K62" s="32" t="s">
        <v>49</v>
      </c>
      <c r="L62" s="8" t="s">
        <v>5</v>
      </c>
      <c r="M62" s="71">
        <f>INDEX('CLOIE Pre and Post Crisis Index'!$A:$M,MATCH('08.31.2016'!$O$2,'CLOIE Pre and Post Crisis Index'!$A:$A,0),MATCH('08.31.2016'!L62,'CLOIE Pre and Post Crisis Index'!$1:$1,0))</f>
        <v>359.72536000000002</v>
      </c>
      <c r="N62" s="33">
        <v>27455000</v>
      </c>
      <c r="O62" s="77">
        <v>100.9379</v>
      </c>
      <c r="P62" s="77">
        <v>100.56369781494141</v>
      </c>
      <c r="Q62" s="91"/>
      <c r="R62" s="91">
        <f>IF(Q62="Y",P62,O62)</f>
        <v>100.9379</v>
      </c>
      <c r="S62" s="91" t="str">
        <f>IF(Q62="Y",K62,I62)</f>
        <v>JPM Pricing Direct</v>
      </c>
      <c r="T62" s="1">
        <f>IF(Q62="Y",P62*N62/100,O62*N62/100)</f>
        <v>27712500.445</v>
      </c>
      <c r="U62" s="88">
        <f>U61+T62</f>
        <v>29620163.145</v>
      </c>
      <c r="V62" s="21"/>
      <c r="W62" s="41"/>
      <c r="X62" s="26"/>
      <c r="Y62" s="97"/>
      <c r="Z62" s="95"/>
    </row>
    <row r="63" spans="1:27" s="5" customFormat="1" x14ac:dyDescent="0.25">
      <c r="A63" s="32"/>
      <c r="B63" s="32"/>
      <c r="C63" s="60"/>
      <c r="D63" s="32" t="s">
        <v>15</v>
      </c>
      <c r="E63" s="53" t="e">
        <f ca="1">_xll.BDP(H63,$E$1)</f>
        <v>#NAME?</v>
      </c>
      <c r="F63" s="49" t="e">
        <f ca="1">_xll.BDP(H63,$F$1)</f>
        <v>#NAME?</v>
      </c>
      <c r="G63" s="49" t="e">
        <f ca="1">_xll.BDP(H63,$G$1)</f>
        <v>#NAME?</v>
      </c>
      <c r="H63" s="26" t="str">
        <f t="shared" si="5"/>
        <v xml:space="preserve"> Mtge</v>
      </c>
      <c r="I63" s="32" t="s">
        <v>20</v>
      </c>
      <c r="J63" s="32"/>
      <c r="K63" s="32" t="s">
        <v>49</v>
      </c>
      <c r="L63" s="8" t="s">
        <v>6</v>
      </c>
      <c r="M63" s="71">
        <f>INDEX('CLOIE Pre and Post Crisis Index'!$A:$M,MATCH('08.31.2016'!$O$2,'CLOIE Pre and Post Crisis Index'!$A:$A,0),MATCH('08.31.2016'!L63,'CLOIE Pre and Post Crisis Index'!$1:$1,0))</f>
        <v>550.64362000000006</v>
      </c>
      <c r="N63" s="33">
        <v>29735000</v>
      </c>
      <c r="O63" s="77">
        <v>100.81829999999999</v>
      </c>
      <c r="P63" s="77">
        <v>100.78900146484375</v>
      </c>
      <c r="Q63" s="91"/>
      <c r="R63" s="91">
        <f>IF(Q63="Y",P63,O63)</f>
        <v>100.81829999999999</v>
      </c>
      <c r="S63" s="91" t="str">
        <f>IF(Q63="Y",K63,I63)</f>
        <v>JPM Pricing Direct</v>
      </c>
      <c r="T63" s="1">
        <f>IF(Q63="Y",P63*N63/100,O63*N63/100)</f>
        <v>29978321.504999999</v>
      </c>
      <c r="U63" s="88">
        <f>U62+T63</f>
        <v>59598484.649999999</v>
      </c>
      <c r="V63" s="21"/>
      <c r="W63" s="41"/>
      <c r="X63" s="26"/>
      <c r="Y63" s="97"/>
      <c r="Z63" s="95"/>
    </row>
    <row r="64" spans="1:27" s="5" customFormat="1" x14ac:dyDescent="0.25">
      <c r="A64" s="32"/>
      <c r="B64" s="32"/>
      <c r="C64" s="60"/>
      <c r="D64" s="32" t="s">
        <v>16</v>
      </c>
      <c r="E64" s="53" t="e">
        <f ca="1">_xll.BDP(H64,$E$1)</f>
        <v>#NAME?</v>
      </c>
      <c r="F64" s="49" t="e">
        <f ca="1">_xll.BDP(H64,$F$1)</f>
        <v>#NAME?</v>
      </c>
      <c r="G64" s="49" t="e">
        <f ca="1">_xll.BDP(H64,$G$1)</f>
        <v>#NAME?</v>
      </c>
      <c r="H64" s="26" t="str">
        <f t="shared" si="5"/>
        <v xml:space="preserve"> Mtge</v>
      </c>
      <c r="I64" s="32" t="s">
        <v>20</v>
      </c>
      <c r="J64" s="32"/>
      <c r="K64" s="32" t="s">
        <v>49</v>
      </c>
      <c r="L64" s="8" t="s">
        <v>7</v>
      </c>
      <c r="M64" s="71">
        <f>INDEX('CLOIE Pre and Post Crisis Index'!$A:$M,MATCH('08.31.2016'!$O$2,'CLOIE Pre and Post Crisis Index'!$A:$A,0),MATCH('08.31.2016'!L64,'CLOIE Pre and Post Crisis Index'!$1:$1,0))</f>
        <v>927.82632000000001</v>
      </c>
      <c r="N64" s="33">
        <v>5800000</v>
      </c>
      <c r="O64" s="77">
        <v>100.76600000000001</v>
      </c>
      <c r="P64" s="77">
        <v>100.697998046875</v>
      </c>
      <c r="Q64" s="91"/>
      <c r="R64" s="91">
        <f>IF(Q64="Y",P64,O64)</f>
        <v>100.76600000000001</v>
      </c>
      <c r="S64" s="91" t="str">
        <f>IF(Q64="Y",K64,I64)</f>
        <v>JPM Pricing Direct</v>
      </c>
      <c r="T64" s="1">
        <f>IF(Q64="Y",P64*N64/100,O64*N64/100)</f>
        <v>5844428</v>
      </c>
      <c r="U64" s="88">
        <f t="shared" ref="U64:U65" si="6">U63+T64</f>
        <v>65442912.649999999</v>
      </c>
      <c r="V64" s="21"/>
      <c r="W64" s="41"/>
      <c r="X64" s="26"/>
      <c r="Y64" s="97"/>
      <c r="Z64" s="95"/>
    </row>
    <row r="65" spans="1:26" s="5" customFormat="1" x14ac:dyDescent="0.25">
      <c r="A65" s="32"/>
      <c r="B65" s="32"/>
      <c r="C65" s="60"/>
      <c r="D65" s="32" t="s">
        <v>3</v>
      </c>
      <c r="E65" s="53" t="e">
        <f ca="1">_xll.BDP(H65,$E$1)</f>
        <v>#NAME?</v>
      </c>
      <c r="F65" s="49" t="e">
        <f ca="1">_xll.BDP(H65,$F$1)</f>
        <v>#NAME?</v>
      </c>
      <c r="G65" s="49" t="e">
        <f ca="1">_xll.BDP(H65,$G$1)</f>
        <v>#NAME?</v>
      </c>
      <c r="H65" s="26" t="str">
        <f t="shared" si="5"/>
        <v xml:space="preserve"> Mtge</v>
      </c>
      <c r="I65" s="32" t="s">
        <v>41</v>
      </c>
      <c r="J65" s="32" t="s">
        <v>48</v>
      </c>
      <c r="K65" s="32"/>
      <c r="L65" s="9" t="s">
        <v>21</v>
      </c>
      <c r="M65" s="70">
        <v>0.1</v>
      </c>
      <c r="N65" s="33">
        <v>37881250</v>
      </c>
      <c r="O65" s="77">
        <v>95</v>
      </c>
      <c r="P65" s="84"/>
      <c r="Q65" s="91"/>
      <c r="R65" s="91">
        <f>IF(Q65="Y",P65,O65)</f>
        <v>95</v>
      </c>
      <c r="S65" s="91" t="str">
        <f>IF(Q65="Y",K65,I65)</f>
        <v>Broker Quote</v>
      </c>
      <c r="T65" s="1">
        <f>IF(Q65="Y",P65*N65/100,O65*N65/100)</f>
        <v>35987187.5</v>
      </c>
      <c r="U65" s="88">
        <f t="shared" si="6"/>
        <v>101430100.15000001</v>
      </c>
      <c r="V65" s="89" t="b">
        <f>U65=T60</f>
        <v>1</v>
      </c>
      <c r="W65" s="41"/>
      <c r="X65" s="26"/>
      <c r="Y65" s="97"/>
      <c r="Z65" s="95"/>
    </row>
    <row r="66" spans="1:26" s="5" customFormat="1" x14ac:dyDescent="0.25">
      <c r="A66" s="101"/>
      <c r="B66" s="101"/>
      <c r="C66" s="112"/>
      <c r="D66" s="101"/>
      <c r="E66" s="102"/>
      <c r="F66" s="102"/>
      <c r="G66" s="102"/>
      <c r="H66" s="101" t="str">
        <f t="shared" si="5"/>
        <v xml:space="preserve"> Mtge</v>
      </c>
      <c r="I66" s="101"/>
      <c r="J66" s="101"/>
      <c r="K66" s="101"/>
      <c r="L66" s="103"/>
      <c r="M66" s="104"/>
      <c r="N66" s="101">
        <f>SUM(N67:N70)</f>
        <v>97850000</v>
      </c>
      <c r="O66" s="81"/>
      <c r="P66" s="81"/>
      <c r="Q66" s="105"/>
      <c r="R66" s="106"/>
      <c r="S66" s="106"/>
      <c r="T66" s="107">
        <f>SUM(T67:T70)</f>
        <v>98900120.5</v>
      </c>
      <c r="U66" s="108">
        <v>97850000</v>
      </c>
      <c r="V66" s="109">
        <f>U66/N66</f>
        <v>1</v>
      </c>
      <c r="W66" s="110">
        <f>V66*T66</f>
        <v>98900120.5</v>
      </c>
      <c r="X66" s="111">
        <v>97850000</v>
      </c>
      <c r="Y66" s="115">
        <f>W66/X66*100</f>
        <v>101.07319417475729</v>
      </c>
      <c r="Z66" s="95"/>
    </row>
    <row r="67" spans="1:26" s="5" customFormat="1" x14ac:dyDescent="0.25">
      <c r="A67" s="32"/>
      <c r="B67" s="32"/>
      <c r="C67" s="118"/>
      <c r="D67" s="32" t="s">
        <v>13</v>
      </c>
      <c r="E67" s="53" t="e">
        <f ca="1">_xll.BDP(H67,$E$1)</f>
        <v>#NAME?</v>
      </c>
      <c r="F67" s="49" t="e">
        <f ca="1">_xll.BDP(H67,$F$1)</f>
        <v>#NAME?</v>
      </c>
      <c r="G67" s="49" t="e">
        <f ca="1">_xll.BDP(H67,$G$1)</f>
        <v>#NAME?</v>
      </c>
      <c r="H67" s="26" t="str">
        <f t="shared" si="5"/>
        <v xml:space="preserve"> Mtge</v>
      </c>
      <c r="I67" s="32" t="s">
        <v>20</v>
      </c>
      <c r="J67" s="32"/>
      <c r="K67" s="32" t="s">
        <v>49</v>
      </c>
      <c r="L67" s="36" t="s">
        <v>11</v>
      </c>
      <c r="M67" s="71">
        <f>INDEX('CLOIE Pre and Post Crisis Index'!$A:$M,MATCH('08.31.2016'!$O$2,'CLOIE Pre and Post Crisis Index'!$A:$A,0),MATCH('08.31.2016'!L67,'CLOIE Pre and Post Crisis Index'!$1:$1,0))</f>
        <v>247.98795000000001</v>
      </c>
      <c r="N67" s="33">
        <v>29450000</v>
      </c>
      <c r="O67" s="77">
        <v>101.36799999999999</v>
      </c>
      <c r="P67" s="77"/>
      <c r="Q67" s="91"/>
      <c r="R67" s="91">
        <f>IF(Q67="Y",P67,O67)</f>
        <v>101.36799999999999</v>
      </c>
      <c r="S67" s="91" t="str">
        <f>IF(Q67="Y",K67,I67)</f>
        <v>JPM Pricing Direct</v>
      </c>
      <c r="T67" s="1">
        <f>IF(Q67="Y",P67*N67/100,O67*N67/100)</f>
        <v>29852876</v>
      </c>
      <c r="U67" s="88">
        <f>T67</f>
        <v>29852876</v>
      </c>
      <c r="V67" s="21"/>
      <c r="W67" s="41"/>
      <c r="X67" s="26"/>
      <c r="Y67" s="116"/>
      <c r="Z67" s="95"/>
    </row>
    <row r="68" spans="1:26" s="5" customFormat="1" x14ac:dyDescent="0.25">
      <c r="A68" s="32"/>
      <c r="B68" s="32"/>
      <c r="C68" s="118"/>
      <c r="D68" s="32" t="s">
        <v>15</v>
      </c>
      <c r="E68" s="53" t="e">
        <f ca="1">_xll.BDP(H68,$E$1)</f>
        <v>#NAME?</v>
      </c>
      <c r="F68" s="49" t="e">
        <f ca="1">_xll.BDP(H68,$F$1)</f>
        <v>#NAME?</v>
      </c>
      <c r="G68" s="49" t="e">
        <f ca="1">_xll.BDP(H68,$G$1)</f>
        <v>#NAME?</v>
      </c>
      <c r="H68" s="26" t="str">
        <f t="shared" si="5"/>
        <v xml:space="preserve"> Mtge</v>
      </c>
      <c r="I68" s="32" t="s">
        <v>20</v>
      </c>
      <c r="J68" s="32"/>
      <c r="K68" s="32" t="s">
        <v>49</v>
      </c>
      <c r="L68" s="8" t="s">
        <v>5</v>
      </c>
      <c r="M68" s="71">
        <f>INDEX('CLOIE Pre and Post Crisis Index'!$A:$M,MATCH('08.31.2016'!$O$2,'CLOIE Pre and Post Crisis Index'!$A:$A,0),MATCH('08.31.2016'!L68,'CLOIE Pre and Post Crisis Index'!$1:$1,0))</f>
        <v>359.72536000000002</v>
      </c>
      <c r="N68" s="33">
        <v>26600000</v>
      </c>
      <c r="O68" s="77">
        <v>102.244</v>
      </c>
      <c r="P68" s="77"/>
      <c r="Q68" s="91"/>
      <c r="R68" s="91">
        <f>IF(Q68="Y",P68,O68)</f>
        <v>102.244</v>
      </c>
      <c r="S68" s="91" t="str">
        <f>IF(Q68="Y",K68,I68)</f>
        <v>JPM Pricing Direct</v>
      </c>
      <c r="T68" s="1">
        <f>IF(Q68="Y",P68*N68/100,O68*N68/100)</f>
        <v>27196904</v>
      </c>
      <c r="U68" s="88">
        <f>U67+T68</f>
        <v>57049780</v>
      </c>
      <c r="V68" s="21"/>
      <c r="W68" s="41"/>
      <c r="X68" s="26"/>
      <c r="Y68" s="116"/>
      <c r="Z68" s="95"/>
    </row>
    <row r="69" spans="1:26" s="5" customFormat="1" x14ac:dyDescent="0.25">
      <c r="A69" s="32"/>
      <c r="B69" s="32"/>
      <c r="C69" s="118"/>
      <c r="D69" s="32" t="s">
        <v>16</v>
      </c>
      <c r="E69" s="53" t="e">
        <f ca="1">_xll.BDP(H69,$E$1)</f>
        <v>#NAME?</v>
      </c>
      <c r="F69" s="49" t="e">
        <f ca="1">_xll.BDP(H69,$F$1)</f>
        <v>#NAME?</v>
      </c>
      <c r="G69" s="49" t="e">
        <f ca="1">_xll.BDP(H69,$G$1)</f>
        <v>#NAME?</v>
      </c>
      <c r="H69" s="26" t="str">
        <f t="shared" si="5"/>
        <v xml:space="preserve"> Mtge</v>
      </c>
      <c r="I69" s="32" t="s">
        <v>20</v>
      </c>
      <c r="J69" s="32"/>
      <c r="K69" s="32" t="s">
        <v>49</v>
      </c>
      <c r="L69" s="8" t="s">
        <v>7</v>
      </c>
      <c r="M69" s="71">
        <f>INDEX('CLOIE Pre and Post Crisis Index'!$A:$M,MATCH('08.31.2016'!$O$2,'CLOIE Pre and Post Crisis Index'!$A:$A,0),MATCH('08.31.2016'!L69,'CLOIE Pre and Post Crisis Index'!$1:$1,0))</f>
        <v>927.82632000000001</v>
      </c>
      <c r="N69" s="33">
        <v>4750000</v>
      </c>
      <c r="O69" s="77">
        <v>101.0598</v>
      </c>
      <c r="P69" s="77"/>
      <c r="Q69" s="91"/>
      <c r="R69" s="91">
        <f>IF(Q69="Y",P69,O69)</f>
        <v>101.0598</v>
      </c>
      <c r="S69" s="91" t="str">
        <f>IF(Q69="Y",K69,I69)</f>
        <v>JPM Pricing Direct</v>
      </c>
      <c r="T69" s="1">
        <f>IF(Q69="Y",P69*N69/100,O69*N69/100)</f>
        <v>4800340.5</v>
      </c>
      <c r="U69" s="88">
        <f>U68+T69</f>
        <v>61850120.5</v>
      </c>
      <c r="V69" s="21"/>
      <c r="W69" s="41"/>
      <c r="X69" s="26"/>
      <c r="Y69" s="116"/>
      <c r="Z69" s="95"/>
    </row>
    <row r="70" spans="1:26" s="5" customFormat="1" x14ac:dyDescent="0.25">
      <c r="A70" s="32"/>
      <c r="B70" s="32"/>
      <c r="C70" s="118"/>
      <c r="D70" s="32" t="s">
        <v>3</v>
      </c>
      <c r="E70" s="53" t="e">
        <f ca="1">_xll.BDP(H70,$E$1)</f>
        <v>#NAME?</v>
      </c>
      <c r="F70" s="49" t="e">
        <f ca="1">_xll.BDP(H70,$F$1)</f>
        <v>#NAME?</v>
      </c>
      <c r="G70" s="49" t="e">
        <f ca="1">_xll.BDP(H70,$G$1)</f>
        <v>#NAME?</v>
      </c>
      <c r="H70" s="26" t="str">
        <f t="shared" si="5"/>
        <v xml:space="preserve"> Mtge</v>
      </c>
      <c r="I70" s="32" t="s">
        <v>41</v>
      </c>
      <c r="J70" s="32" t="s">
        <v>48</v>
      </c>
      <c r="K70" s="32"/>
      <c r="L70" s="8" t="s">
        <v>21</v>
      </c>
      <c r="M70" s="70">
        <v>0.1</v>
      </c>
      <c r="N70" s="33">
        <v>37050000</v>
      </c>
      <c r="O70" s="114">
        <v>100</v>
      </c>
      <c r="P70" s="77"/>
      <c r="Q70" s="91"/>
      <c r="R70" s="94">
        <f>IF(Q70="Y",P70,O70)</f>
        <v>100</v>
      </c>
      <c r="S70" s="94" t="str">
        <f>IF(Q70="Y",K70,I70)</f>
        <v>Broker Quote</v>
      </c>
      <c r="T70" s="1">
        <f>IF(Q70="Y",P70*N70/100,O70*N70/100)</f>
        <v>37050000</v>
      </c>
      <c r="U70" s="88">
        <f t="shared" ref="U70" si="7">U69+T70</f>
        <v>98900120.5</v>
      </c>
      <c r="V70" s="89" t="b">
        <f>U70=T66</f>
        <v>1</v>
      </c>
      <c r="W70" s="41"/>
      <c r="X70" s="26"/>
      <c r="Y70" s="116"/>
      <c r="Z70" s="95"/>
    </row>
    <row r="71" spans="1:26" s="5" customFormat="1" x14ac:dyDescent="0.25">
      <c r="A71" s="37"/>
      <c r="B71" s="37"/>
      <c r="C71" s="113"/>
      <c r="D71" s="37"/>
      <c r="E71" s="50"/>
      <c r="F71" s="50"/>
      <c r="G71" s="50"/>
      <c r="H71" s="37" t="str">
        <f t="shared" si="5"/>
        <v xml:space="preserve"> Mtge</v>
      </c>
      <c r="I71" s="37"/>
      <c r="J71" s="37"/>
      <c r="K71" s="37"/>
      <c r="L71" s="38"/>
      <c r="M71" s="72"/>
      <c r="N71" s="37">
        <f>SUM(N72:N75)</f>
        <v>108250000</v>
      </c>
      <c r="O71" s="81"/>
      <c r="P71" s="81"/>
      <c r="Q71" s="90"/>
      <c r="R71" s="93"/>
      <c r="S71" s="93"/>
      <c r="T71" s="3">
        <f>SUM(T72:T75)</f>
        <v>104075207</v>
      </c>
      <c r="U71" s="22">
        <v>108250000</v>
      </c>
      <c r="V71" s="43">
        <f>U71/N71</f>
        <v>1</v>
      </c>
      <c r="W71" s="40">
        <f>V71*T71</f>
        <v>104075207</v>
      </c>
      <c r="X71" s="42">
        <v>103059165</v>
      </c>
      <c r="Y71" s="117">
        <f>W71/X71*100</f>
        <v>100.98588223570412</v>
      </c>
      <c r="Z71" s="95"/>
    </row>
    <row r="72" spans="1:26" s="5" customFormat="1" x14ac:dyDescent="0.25">
      <c r="A72" s="32"/>
      <c r="B72" s="32"/>
      <c r="C72" s="118"/>
      <c r="D72" s="32" t="s">
        <v>13</v>
      </c>
      <c r="E72" s="53" t="e">
        <f ca="1">_xll.BDP(H72,$E$1)</f>
        <v>#NAME?</v>
      </c>
      <c r="F72" s="49" t="e">
        <f ca="1">_xll.BDP(H72,$F$1)</f>
        <v>#NAME?</v>
      </c>
      <c r="G72" s="49" t="e">
        <f ca="1">_xll.BDP(H72,$G$1)</f>
        <v>#NAME?</v>
      </c>
      <c r="H72" s="26" t="str">
        <f t="shared" si="5"/>
        <v xml:space="preserve"> Mtge</v>
      </c>
      <c r="I72" s="32" t="s">
        <v>20</v>
      </c>
      <c r="J72" s="32"/>
      <c r="K72" s="32" t="s">
        <v>49</v>
      </c>
      <c r="L72" s="36" t="s">
        <v>11</v>
      </c>
      <c r="M72" s="71">
        <f>INDEX('CLOIE Pre and Post Crisis Index'!$A:$M,MATCH('08.31.2016'!$O$2,'CLOIE Pre and Post Crisis Index'!$A:$A,0),MATCH('08.31.2016'!L72,'CLOIE Pre and Post Crisis Index'!$1:$1,0))</f>
        <v>247.98795000000001</v>
      </c>
      <c r="N72" s="33">
        <v>30000000</v>
      </c>
      <c r="O72" s="77">
        <v>101.3908</v>
      </c>
      <c r="P72" s="77"/>
      <c r="Q72" s="91"/>
      <c r="R72" s="91">
        <f>IF(Q72="Y",P72,O72)</f>
        <v>101.3908</v>
      </c>
      <c r="S72" s="91" t="str">
        <f>IF(Q72="Y",K72,I72)</f>
        <v>JPM Pricing Direct</v>
      </c>
      <c r="T72" s="1">
        <f>IF(Q72="Y",P72*N72/100,O72*N72/100)</f>
        <v>30417240</v>
      </c>
      <c r="U72" s="88">
        <f>T72</f>
        <v>30417240</v>
      </c>
      <c r="V72" s="21"/>
      <c r="W72" s="41"/>
      <c r="X72" s="26"/>
      <c r="Y72" s="116"/>
      <c r="Z72" s="95"/>
    </row>
    <row r="73" spans="1:26" s="5" customFormat="1" x14ac:dyDescent="0.25">
      <c r="A73" s="32"/>
      <c r="B73" s="32"/>
      <c r="C73" s="118"/>
      <c r="D73" s="32" t="s">
        <v>15</v>
      </c>
      <c r="E73" s="53" t="e">
        <f ca="1">_xll.BDP(H73,$E$1)</f>
        <v>#NAME?</v>
      </c>
      <c r="F73" s="49" t="e">
        <f ca="1">_xll.BDP(H73,$F$1)</f>
        <v>#NAME?</v>
      </c>
      <c r="G73" s="49" t="e">
        <f ca="1">_xll.BDP(H73,$G$1)</f>
        <v>#NAME?</v>
      </c>
      <c r="H73" s="26" t="str">
        <f t="shared" si="5"/>
        <v xml:space="preserve"> Mtge</v>
      </c>
      <c r="I73" s="32" t="s">
        <v>20</v>
      </c>
      <c r="J73" s="32"/>
      <c r="K73" s="32" t="s">
        <v>49</v>
      </c>
      <c r="L73" s="8" t="s">
        <v>5</v>
      </c>
      <c r="M73" s="71">
        <f>INDEX('CLOIE Pre and Post Crisis Index'!$A:$M,MATCH('08.31.2016'!$O$2,'CLOIE Pre and Post Crisis Index'!$A:$A,0),MATCH('08.31.2016'!L73,'CLOIE Pre and Post Crisis Index'!$1:$1,0))</f>
        <v>359.72536000000002</v>
      </c>
      <c r="N73" s="33">
        <v>29000000</v>
      </c>
      <c r="O73" s="77">
        <v>101.8509</v>
      </c>
      <c r="P73" s="77"/>
      <c r="Q73" s="91"/>
      <c r="R73" s="91">
        <f>IF(Q73="Y",P73,O73)</f>
        <v>101.8509</v>
      </c>
      <c r="S73" s="91" t="str">
        <f>IF(Q73="Y",K73,I73)</f>
        <v>JPM Pricing Direct</v>
      </c>
      <c r="T73" s="1">
        <f>IF(Q73="Y",P73*N73/100,O73*N73/100)</f>
        <v>29536761</v>
      </c>
      <c r="U73" s="88">
        <f>U72+T73</f>
        <v>59954001</v>
      </c>
      <c r="V73" s="21"/>
      <c r="W73" s="41"/>
      <c r="X73" s="26"/>
      <c r="Y73" s="116"/>
      <c r="Z73" s="95"/>
    </row>
    <row r="74" spans="1:26" s="5" customFormat="1" x14ac:dyDescent="0.25">
      <c r="A74" s="32"/>
      <c r="B74" s="32"/>
      <c r="C74" s="118"/>
      <c r="D74" s="32" t="s">
        <v>16</v>
      </c>
      <c r="E74" s="53" t="e">
        <f ca="1">_xll.BDP(H74,$E$1)</f>
        <v>#NAME?</v>
      </c>
      <c r="F74" s="49" t="e">
        <f ca="1">_xll.BDP(H74,$F$1)</f>
        <v>#NAME?</v>
      </c>
      <c r="G74" s="49" t="e">
        <f ca="1">_xll.BDP(H74,$G$1)</f>
        <v>#NAME?</v>
      </c>
      <c r="H74" s="26" t="str">
        <f t="shared" si="5"/>
        <v xml:space="preserve"> Mtge</v>
      </c>
      <c r="I74" s="32" t="s">
        <v>20</v>
      </c>
      <c r="J74" s="32"/>
      <c r="K74" s="32" t="s">
        <v>49</v>
      </c>
      <c r="L74" s="8" t="s">
        <v>7</v>
      </c>
      <c r="M74" s="71">
        <f>INDEX('CLOIE Pre and Post Crisis Index'!$A:$M,MATCH('08.31.2016'!$O$2,'CLOIE Pre and Post Crisis Index'!$A:$A,0),MATCH('08.31.2016'!L74,'CLOIE Pre and Post Crisis Index'!$1:$1,0))</f>
        <v>927.82632000000001</v>
      </c>
      <c r="N74" s="33">
        <v>7000000</v>
      </c>
      <c r="O74" s="77">
        <v>100.88630000000001</v>
      </c>
      <c r="P74" s="77"/>
      <c r="Q74" s="91"/>
      <c r="R74" s="91">
        <f>IF(Q74="Y",P74,O74)</f>
        <v>100.88630000000001</v>
      </c>
      <c r="S74" s="91" t="str">
        <f>IF(Q74="Y",K74,I74)</f>
        <v>JPM Pricing Direct</v>
      </c>
      <c r="T74" s="1">
        <f>IF(Q74="Y",P74*N74/100,O74*N74/100)</f>
        <v>7062041</v>
      </c>
      <c r="U74" s="88">
        <f>U73+T74</f>
        <v>67016042</v>
      </c>
      <c r="V74" s="21"/>
      <c r="W74" s="41"/>
      <c r="X74" s="26"/>
      <c r="Y74" s="116"/>
      <c r="Z74" s="95"/>
    </row>
    <row r="75" spans="1:26" s="5" customFormat="1" x14ac:dyDescent="0.25">
      <c r="A75" s="32"/>
      <c r="B75" s="32"/>
      <c r="C75" s="118"/>
      <c r="D75" s="32" t="s">
        <v>3</v>
      </c>
      <c r="E75" s="53" t="e">
        <f ca="1">_xll.BDP(H75,$E$1)</f>
        <v>#NAME?</v>
      </c>
      <c r="F75" s="49" t="e">
        <f ca="1">_xll.BDP(H75,$F$1)</f>
        <v>#NAME?</v>
      </c>
      <c r="G75" s="49" t="e">
        <f ca="1">_xll.BDP(H75,$G$1)</f>
        <v>#NAME?</v>
      </c>
      <c r="H75" s="26" t="str">
        <f t="shared" si="5"/>
        <v xml:space="preserve"> Mtge</v>
      </c>
      <c r="I75" s="32" t="s">
        <v>41</v>
      </c>
      <c r="J75" s="32" t="s">
        <v>48</v>
      </c>
      <c r="K75" s="32"/>
      <c r="L75" s="9"/>
      <c r="M75" s="70">
        <v>0.1</v>
      </c>
      <c r="N75" s="33">
        <v>42250000</v>
      </c>
      <c r="O75" s="114">
        <v>87.713999999999999</v>
      </c>
      <c r="P75" s="77"/>
      <c r="Q75" s="91"/>
      <c r="R75" s="91">
        <f>IF(Q75="Y",P75,O75)</f>
        <v>87.713999999999999</v>
      </c>
      <c r="S75" s="91" t="str">
        <f>IF(Q75="Y",K75,I75)</f>
        <v>Broker Quote</v>
      </c>
      <c r="T75" s="1">
        <f>IF(Q75="Y",P75*N75/100,O75*N75/100)</f>
        <v>37059165</v>
      </c>
      <c r="U75" s="88">
        <f t="shared" ref="U75" si="8">U74+T75</f>
        <v>104075207</v>
      </c>
      <c r="V75" s="89" t="b">
        <f>U75=T71</f>
        <v>1</v>
      </c>
      <c r="W75" s="41"/>
      <c r="X75" s="26"/>
      <c r="Y75" s="116"/>
      <c r="Z75" s="95"/>
    </row>
    <row r="76" spans="1:26" s="5" customFormat="1" x14ac:dyDescent="0.25">
      <c r="A76" s="37"/>
      <c r="B76" s="37"/>
      <c r="C76" s="113"/>
      <c r="D76" s="37"/>
      <c r="E76" s="50"/>
      <c r="F76" s="50"/>
      <c r="G76" s="50"/>
      <c r="H76" s="37" t="str">
        <f t="shared" si="5"/>
        <v xml:space="preserve"> Mtge</v>
      </c>
      <c r="I76" s="37"/>
      <c r="J76" s="37"/>
      <c r="K76" s="37"/>
      <c r="L76" s="38"/>
      <c r="M76" s="72"/>
      <c r="N76" s="37">
        <f>SUM(N77:N80)</f>
        <v>177450000</v>
      </c>
      <c r="O76" s="81"/>
      <c r="P76" s="81"/>
      <c r="Q76" s="90"/>
      <c r="R76" s="93"/>
      <c r="S76" s="93"/>
      <c r="T76" s="3">
        <f>SUM(T77:T80)</f>
        <v>177961000</v>
      </c>
      <c r="U76" s="22">
        <v>177450000</v>
      </c>
      <c r="V76" s="43">
        <f>U76/N76</f>
        <v>1</v>
      </c>
      <c r="W76" s="40">
        <f>V76*T76</f>
        <v>177961000</v>
      </c>
      <c r="X76" s="42">
        <v>177450000</v>
      </c>
      <c r="Y76" s="117">
        <f>W76/X76*100</f>
        <v>100.2879684418146</v>
      </c>
      <c r="Z76" s="95"/>
    </row>
    <row r="77" spans="1:26" s="5" customFormat="1" x14ac:dyDescent="0.25">
      <c r="A77" s="32"/>
      <c r="B77" s="119"/>
      <c r="C77" s="118"/>
      <c r="D77" s="32"/>
      <c r="E77" s="53"/>
      <c r="F77" s="49"/>
      <c r="G77" s="49" t="e">
        <f ca="1">_xll.BDP(H77,$G$1)</f>
        <v>#NAME?</v>
      </c>
      <c r="H77" s="26" t="str">
        <f t="shared" si="5"/>
        <v xml:space="preserve"> Mtge</v>
      </c>
      <c r="I77" s="32" t="s">
        <v>41</v>
      </c>
      <c r="J77" s="32" t="s">
        <v>57</v>
      </c>
      <c r="K77" s="32"/>
      <c r="L77" s="36"/>
      <c r="M77" s="71"/>
      <c r="N77" s="33">
        <v>138700000</v>
      </c>
      <c r="O77" s="77">
        <v>100.5</v>
      </c>
      <c r="P77" s="77"/>
      <c r="Q77" s="91"/>
      <c r="R77" s="91">
        <f>IF(Q77="Y",P77,O77)</f>
        <v>100.5</v>
      </c>
      <c r="S77" s="91" t="str">
        <f>IF(Q77="Y",K77,I77)</f>
        <v>Broker Quote</v>
      </c>
      <c r="T77" s="1">
        <f>IF(Q77="Y",P77*N77/100,O77*N77/100)</f>
        <v>139393500</v>
      </c>
      <c r="U77" s="88">
        <f>T77</f>
        <v>139393500</v>
      </c>
      <c r="V77" s="21"/>
      <c r="W77" s="41"/>
      <c r="X77" s="26"/>
      <c r="Y77" s="116"/>
      <c r="Z77" s="95"/>
    </row>
    <row r="78" spans="1:26" s="5" customFormat="1" x14ac:dyDescent="0.25">
      <c r="A78" s="32"/>
      <c r="B78" s="32"/>
      <c r="C78" s="118"/>
      <c r="D78" s="32"/>
      <c r="E78" s="53"/>
      <c r="F78" s="49"/>
      <c r="G78" s="49" t="e">
        <f ca="1">_xll.BDP(H78,$G$1)</f>
        <v>#NAME?</v>
      </c>
      <c r="H78" s="26" t="str">
        <f t="shared" si="5"/>
        <v xml:space="preserve"> Mtge</v>
      </c>
      <c r="I78" s="32" t="s">
        <v>41</v>
      </c>
      <c r="J78" s="32" t="s">
        <v>57</v>
      </c>
      <c r="K78" s="32"/>
      <c r="L78" s="9"/>
      <c r="M78" s="71"/>
      <c r="N78" s="33">
        <v>18000000</v>
      </c>
      <c r="O78" s="77">
        <v>101</v>
      </c>
      <c r="P78" s="77"/>
      <c r="Q78" s="91"/>
      <c r="R78" s="91">
        <f>IF(Q78="Y",P78,O78)</f>
        <v>101</v>
      </c>
      <c r="S78" s="91" t="str">
        <f>IF(Q78="Y",K78,I78)</f>
        <v>Broker Quote</v>
      </c>
      <c r="T78" s="1">
        <f>IF(Q78="Y",P78*N78/100,O78*N78/100)</f>
        <v>18180000</v>
      </c>
      <c r="U78" s="88">
        <f>U77+T78</f>
        <v>157573500</v>
      </c>
      <c r="V78" s="21"/>
      <c r="W78" s="41"/>
      <c r="X78" s="26"/>
      <c r="Y78" s="116"/>
      <c r="Z78" s="95"/>
    </row>
    <row r="79" spans="1:26" s="5" customFormat="1" x14ac:dyDescent="0.25">
      <c r="A79" s="32"/>
      <c r="B79" s="32"/>
      <c r="C79" s="118"/>
      <c r="D79" s="32"/>
      <c r="E79" s="53"/>
      <c r="F79" s="49"/>
      <c r="G79" s="49" t="e">
        <f ca="1">_xll.BDP(H79,$G$1)</f>
        <v>#NAME?</v>
      </c>
      <c r="H79" s="26" t="str">
        <f t="shared" si="5"/>
        <v xml:space="preserve"> Mtge</v>
      </c>
      <c r="I79" s="32" t="s">
        <v>41</v>
      </c>
      <c r="J79" s="32" t="s">
        <v>57</v>
      </c>
      <c r="K79" s="32"/>
      <c r="L79" s="9"/>
      <c r="M79" s="71"/>
      <c r="N79" s="33">
        <v>13000000</v>
      </c>
      <c r="O79" s="77">
        <v>99</v>
      </c>
      <c r="P79" s="77"/>
      <c r="Q79" s="91"/>
      <c r="R79" s="91">
        <f>IF(Q79="Y",P79,O79)</f>
        <v>99</v>
      </c>
      <c r="S79" s="91" t="str">
        <f>IF(Q79="Y",K79,I79)</f>
        <v>Broker Quote</v>
      </c>
      <c r="T79" s="1">
        <f>IF(Q79="Y",P79*N79/100,O79*N79/100)</f>
        <v>12870000</v>
      </c>
      <c r="U79" s="88">
        <f>U78+T79</f>
        <v>170443500</v>
      </c>
      <c r="V79" s="21"/>
      <c r="W79" s="41"/>
      <c r="X79" s="26"/>
      <c r="Y79" s="116"/>
      <c r="Z79" s="95"/>
    </row>
    <row r="80" spans="1:26" s="5" customFormat="1" x14ac:dyDescent="0.25">
      <c r="A80" s="32"/>
      <c r="B80" s="32"/>
      <c r="C80" s="118"/>
      <c r="D80" s="32"/>
      <c r="E80" s="53"/>
      <c r="F80" s="49"/>
      <c r="G80" s="49" t="e">
        <f ca="1">_xll.BDP(H80,$G$1)</f>
        <v>#NAME?</v>
      </c>
      <c r="H80" s="26" t="str">
        <f t="shared" si="5"/>
        <v xml:space="preserve"> Mtge</v>
      </c>
      <c r="I80" s="32" t="s">
        <v>41</v>
      </c>
      <c r="J80" s="32" t="s">
        <v>57</v>
      </c>
      <c r="K80" s="32"/>
      <c r="L80" s="9"/>
      <c r="M80" s="70"/>
      <c r="N80" s="33">
        <v>7750000</v>
      </c>
      <c r="O80" s="77">
        <v>97</v>
      </c>
      <c r="P80" s="77"/>
      <c r="Q80" s="91"/>
      <c r="R80" s="91">
        <f>IF(Q80="Y",P80,O80)</f>
        <v>97</v>
      </c>
      <c r="S80" s="91" t="str">
        <f>IF(Q80="Y",K80,I80)</f>
        <v>Broker Quote</v>
      </c>
      <c r="T80" s="1">
        <f>IF(Q80="Y",P80*N80/100,O80*N80/100)</f>
        <v>7517500</v>
      </c>
      <c r="U80" s="88">
        <f t="shared" ref="U80" si="9">U79+T80</f>
        <v>177961000</v>
      </c>
      <c r="V80" s="89" t="b">
        <f>U80=T76</f>
        <v>1</v>
      </c>
      <c r="W80" s="41"/>
      <c r="X80" s="26"/>
      <c r="Y80" s="116"/>
      <c r="Z80" s="95"/>
    </row>
    <row r="81" spans="1:26" s="14" customFormat="1" ht="45" x14ac:dyDescent="0.25">
      <c r="A81" s="55" t="s">
        <v>54</v>
      </c>
      <c r="B81" s="55" t="s">
        <v>0</v>
      </c>
      <c r="C81" s="65" t="s">
        <v>17</v>
      </c>
      <c r="D81" s="56" t="s">
        <v>2</v>
      </c>
      <c r="E81" s="57" t="s">
        <v>37</v>
      </c>
      <c r="F81" s="57" t="s">
        <v>38</v>
      </c>
      <c r="G81" s="57" t="s">
        <v>39</v>
      </c>
      <c r="H81" s="55"/>
      <c r="I81" s="56" t="s">
        <v>19</v>
      </c>
      <c r="J81" s="56" t="s">
        <v>42</v>
      </c>
      <c r="K81" s="57" t="s">
        <v>43</v>
      </c>
      <c r="L81" s="55" t="s">
        <v>4</v>
      </c>
      <c r="M81" s="55" t="s">
        <v>8</v>
      </c>
      <c r="N81" s="55" t="s">
        <v>55</v>
      </c>
      <c r="O81" s="58">
        <f>O2</f>
        <v>42521</v>
      </c>
      <c r="P81" s="58">
        <f>O81</f>
        <v>42521</v>
      </c>
      <c r="Q81" s="87" t="s">
        <v>53</v>
      </c>
      <c r="R81" s="87"/>
      <c r="S81" s="87"/>
      <c r="T81" s="58">
        <f>O2</f>
        <v>42521</v>
      </c>
      <c r="U81" s="58" t="s">
        <v>34</v>
      </c>
      <c r="V81" s="58">
        <f>T81</f>
        <v>42521</v>
      </c>
      <c r="W81" s="58">
        <f>V81</f>
        <v>42521</v>
      </c>
      <c r="X81" s="58">
        <f>W81</f>
        <v>42521</v>
      </c>
      <c r="Y81" s="58">
        <f>X81</f>
        <v>42521</v>
      </c>
      <c r="Z81" s="95"/>
    </row>
    <row r="82" spans="1:26" s="5" customFormat="1" x14ac:dyDescent="0.25">
      <c r="A82" s="37"/>
      <c r="B82" s="37"/>
      <c r="C82" s="59"/>
      <c r="D82" s="37"/>
      <c r="E82" s="37"/>
      <c r="F82" s="37"/>
      <c r="G82" s="37"/>
      <c r="H82" s="37"/>
      <c r="I82" s="37"/>
      <c r="J82" s="37"/>
      <c r="K82" s="37"/>
      <c r="L82" s="38"/>
      <c r="M82" s="72"/>
      <c r="N82" s="28">
        <f>SUM(N83:N86)</f>
        <v>26250000</v>
      </c>
      <c r="O82" s="46"/>
      <c r="P82" s="46"/>
      <c r="Q82" s="90" t="str">
        <f>IFERROR(IF(MATCH("Y",Q83:Q86,0)&gt;0,"Y",""),"")</f>
        <v/>
      </c>
      <c r="R82" s="92"/>
      <c r="S82" s="92"/>
      <c r="T82" s="3">
        <f>SUM(T83:T86)</f>
        <v>26179248.949999999</v>
      </c>
      <c r="U82" s="35">
        <v>26250000</v>
      </c>
      <c r="V82" s="43">
        <f>U82/N82</f>
        <v>1</v>
      </c>
      <c r="W82" s="40">
        <f>V82*T82</f>
        <v>26179248.949999999</v>
      </c>
      <c r="X82" s="42">
        <v>26250000</v>
      </c>
      <c r="Y82" s="96">
        <f>W82/X82*100</f>
        <v>99.730472190476178</v>
      </c>
      <c r="Z82" s="95"/>
    </row>
    <row r="83" spans="1:26" s="5" customFormat="1" x14ac:dyDescent="0.25">
      <c r="A83" s="32"/>
      <c r="B83" s="32"/>
      <c r="C83" s="60"/>
      <c r="D83" s="32" t="s">
        <v>36</v>
      </c>
      <c r="E83" s="53" t="e">
        <f ca="1">_xll.BDP(H83,$E$1)</f>
        <v>#NAME?</v>
      </c>
      <c r="F83" s="49" t="e">
        <f ca="1">_xll.BDP(H83,$F$1)</f>
        <v>#NAME?</v>
      </c>
      <c r="G83" s="49" t="e">
        <f ca="1">_xll.BDP(H83,$G$1)</f>
        <v>#NAME?</v>
      </c>
      <c r="H83" s="26" t="str">
        <f>C83&amp;" Mtge"</f>
        <v xml:space="preserve"> Mtge</v>
      </c>
      <c r="I83" s="32" t="s">
        <v>20</v>
      </c>
      <c r="J83" s="32"/>
      <c r="K83" s="32" t="s">
        <v>44</v>
      </c>
      <c r="L83" s="36" t="s">
        <v>10</v>
      </c>
      <c r="M83" s="71">
        <f>INDEX('CLOIE Pre and Post Crisis Index'!$A:$M,MATCH('08.31.2016'!$O$2,'CLOIE Pre and Post Crisis Index'!$A:$A,0),MATCH('08.31.2016'!L83,'CLOIE Pre and Post Crisis Index'!$1:$1,0))</f>
        <v>166.07346999999999</v>
      </c>
      <c r="N83" s="33">
        <v>19250000</v>
      </c>
      <c r="O83" s="77">
        <v>99.747500000000002</v>
      </c>
      <c r="P83" s="77">
        <v>100</v>
      </c>
      <c r="Q83" s="91"/>
      <c r="R83" s="91">
        <f>IF(Q83="Y",P83,O83)</f>
        <v>99.747500000000002</v>
      </c>
      <c r="S83" s="91" t="str">
        <f>IF(Q83="Y",K83,I83)</f>
        <v>JPM Pricing Direct</v>
      </c>
      <c r="T83" s="1">
        <f>IF(Q83="Y",P83*N83/100,O83*N83/100)</f>
        <v>19201393.75</v>
      </c>
      <c r="U83" s="88">
        <f>T83</f>
        <v>19201393.75</v>
      </c>
      <c r="V83" s="21"/>
      <c r="W83" s="41"/>
      <c r="X83" s="26"/>
      <c r="Y83" s="97"/>
      <c r="Z83" s="95"/>
    </row>
    <row r="84" spans="1:26" s="5" customFormat="1" x14ac:dyDescent="0.25">
      <c r="A84" s="26"/>
      <c r="B84" s="26"/>
      <c r="C84" s="63"/>
      <c r="D84" s="26" t="s">
        <v>14</v>
      </c>
      <c r="E84" s="49" t="e">
        <f ca="1">_xll.BDP(H84,$E$1)</f>
        <v>#NAME?</v>
      </c>
      <c r="F84" s="49" t="e">
        <f ca="1">_xll.BDP(H84,$F$1)</f>
        <v>#NAME?</v>
      </c>
      <c r="G84" s="49" t="e">
        <f ca="1">_xll.BDP(H84,$G$1)</f>
        <v>#NAME?</v>
      </c>
      <c r="H84" s="26" t="str">
        <f>C84&amp;" Mtge"</f>
        <v xml:space="preserve"> Mtge</v>
      </c>
      <c r="I84" s="32" t="s">
        <v>20</v>
      </c>
      <c r="J84" s="32"/>
      <c r="K84" s="32" t="s">
        <v>44</v>
      </c>
      <c r="L84" s="7" t="s">
        <v>6</v>
      </c>
      <c r="M84" s="71">
        <f>INDEX('CLOIE Pre and Post Crisis Index'!$A:$M,MATCH('08.31.2016'!$O$2,'CLOIE Pre and Post Crisis Index'!$A:$A,0),MATCH('08.31.2016'!L84,'CLOIE Pre and Post Crisis Index'!$1:$1,0))</f>
        <v>550.64362000000006</v>
      </c>
      <c r="N84" s="33">
        <v>3600000</v>
      </c>
      <c r="O84" s="82">
        <v>99.428200000000004</v>
      </c>
      <c r="P84" s="82">
        <v>100.85</v>
      </c>
      <c r="Q84" s="91"/>
      <c r="R84" s="91">
        <f>IF(Q84="Y",P84,O84)</f>
        <v>99.428200000000004</v>
      </c>
      <c r="S84" s="91" t="str">
        <f>IF(Q84="Y",K84,I84)</f>
        <v>JPM Pricing Direct</v>
      </c>
      <c r="T84" s="1">
        <f>IF(Q84="Y",P84*N84/100,O84*N84/100)</f>
        <v>3579415.2</v>
      </c>
      <c r="U84" s="88">
        <f>U83+T84</f>
        <v>22780808.949999999</v>
      </c>
      <c r="V84" s="21"/>
      <c r="W84" s="41"/>
      <c r="X84" s="26"/>
      <c r="Y84" s="97"/>
      <c r="Z84" s="95"/>
    </row>
    <row r="85" spans="1:26" s="5" customFormat="1" x14ac:dyDescent="0.25">
      <c r="A85" s="26"/>
      <c r="B85" s="26"/>
      <c r="C85" s="63"/>
      <c r="D85" s="26" t="s">
        <v>13</v>
      </c>
      <c r="E85" s="49" t="e">
        <f ca="1">_xll.BDP(H85,$E$1)</f>
        <v>#NAME?</v>
      </c>
      <c r="F85" s="49" t="e">
        <f ca="1">_xll.BDP(H85,$F$1)</f>
        <v>#NAME?</v>
      </c>
      <c r="G85" s="49" t="e">
        <f ca="1">_xll.BDP(H85,$G$1)</f>
        <v>#NAME?</v>
      </c>
      <c r="H85" s="26" t="str">
        <f>C85&amp;" Mtge"</f>
        <v xml:space="preserve"> Mtge</v>
      </c>
      <c r="I85" s="32" t="s">
        <v>20</v>
      </c>
      <c r="J85" s="32"/>
      <c r="K85" s="32" t="s">
        <v>44</v>
      </c>
      <c r="L85" s="6" t="s">
        <v>7</v>
      </c>
      <c r="M85" s="71">
        <f>INDEX('CLOIE Pre and Post Crisis Index'!$A:$M,MATCH('08.31.2016'!$O$2,'CLOIE Pre and Post Crisis Index'!$A:$A,0),MATCH('08.31.2016'!L85,'CLOIE Pre and Post Crisis Index'!$1:$1,0))</f>
        <v>927.82632000000001</v>
      </c>
      <c r="N85" s="33">
        <v>1900000</v>
      </c>
      <c r="O85" s="82">
        <v>100.2565</v>
      </c>
      <c r="P85" s="82">
        <v>101.78</v>
      </c>
      <c r="Q85" s="91"/>
      <c r="R85" s="91">
        <f>IF(Q85="Y",P85,O85)</f>
        <v>100.2565</v>
      </c>
      <c r="S85" s="91" t="str">
        <f>IF(Q85="Y",K85,I85)</f>
        <v>JPM Pricing Direct</v>
      </c>
      <c r="T85" s="1">
        <f>IF(Q85="Y",P85*N85/100,O85*N85/100)</f>
        <v>1904873.5</v>
      </c>
      <c r="U85" s="88">
        <f>U84+T85</f>
        <v>24685682.449999999</v>
      </c>
      <c r="V85" s="21"/>
      <c r="W85" s="41"/>
      <c r="X85" s="26"/>
      <c r="Y85" s="97"/>
      <c r="Z85" s="95"/>
    </row>
    <row r="86" spans="1:26" s="5" customFormat="1" x14ac:dyDescent="0.25">
      <c r="A86" s="27"/>
      <c r="B86" s="27"/>
      <c r="C86" s="64"/>
      <c r="D86" s="27" t="s">
        <v>15</v>
      </c>
      <c r="E86" s="51" t="e">
        <f ca="1">_xll.BDP(H86,$E$1)</f>
        <v>#NAME?</v>
      </c>
      <c r="F86" s="49" t="e">
        <f ca="1">_xll.BDP(H86,$F$1)</f>
        <v>#NAME?</v>
      </c>
      <c r="G86" s="49" t="e">
        <f ca="1">_xll.BDP(H86,$G$1)</f>
        <v>#NAME?</v>
      </c>
      <c r="H86" s="26" t="str">
        <f>C86&amp;" Mtge"</f>
        <v xml:space="preserve"> Mtge</v>
      </c>
      <c r="I86" s="39" t="s">
        <v>20</v>
      </c>
      <c r="J86" s="39"/>
      <c r="K86" s="32" t="s">
        <v>44</v>
      </c>
      <c r="L86" s="11" t="s">
        <v>6</v>
      </c>
      <c r="M86" s="71">
        <f>INDEX('CLOIE Pre and Post Crisis Index'!$A:$M,MATCH('08.31.2016'!$O$2,'CLOIE Pre and Post Crisis Index'!$A:$A,0),MATCH('08.31.2016'!L86,'CLOIE Pre and Post Crisis Index'!$1:$1,0))</f>
        <v>550.64362000000006</v>
      </c>
      <c r="N86" s="23">
        <v>1500000</v>
      </c>
      <c r="O86" s="83">
        <v>99.571100000000001</v>
      </c>
      <c r="P86" s="82">
        <v>101.2</v>
      </c>
      <c r="Q86" s="91"/>
      <c r="R86" s="94">
        <f>IF(Q86="Y",P86,O86)</f>
        <v>99.571100000000001</v>
      </c>
      <c r="S86" s="94" t="str">
        <f>IF(Q86="Y",K86,I86)</f>
        <v>JPM Pricing Direct</v>
      </c>
      <c r="T86" s="31">
        <f>IF(Q86="Y",P86*N86/100,O86*N86/100)</f>
        <v>1493566.5</v>
      </c>
      <c r="U86" s="88">
        <f>U85+T86</f>
        <v>26179248.949999999</v>
      </c>
      <c r="V86" s="89" t="b">
        <f>U86=T82</f>
        <v>1</v>
      </c>
      <c r="W86" s="17"/>
      <c r="X86" s="27"/>
      <c r="Y86" s="98"/>
      <c r="Z86" s="95"/>
    </row>
    <row r="87" spans="1:26" s="5" customFormat="1" x14ac:dyDescent="0.25">
      <c r="A87" s="37"/>
      <c r="B87" s="37"/>
      <c r="C87" s="59"/>
      <c r="D87" s="37"/>
      <c r="E87" s="50"/>
      <c r="F87" s="50"/>
      <c r="G87" s="50"/>
      <c r="H87" s="37"/>
      <c r="I87" s="37"/>
      <c r="J87" s="37"/>
      <c r="K87" s="37"/>
      <c r="L87" s="38"/>
      <c r="M87" s="72"/>
      <c r="N87" s="28">
        <f>SUM(N88:N91)</f>
        <v>35250000</v>
      </c>
      <c r="O87" s="79"/>
      <c r="P87" s="81"/>
      <c r="Q87" s="90" t="str">
        <f>IFERROR(IF(MATCH("Y",Q88:Q91,0)&gt;0,"Y",""),"")</f>
        <v/>
      </c>
      <c r="R87" s="93"/>
      <c r="S87" s="93"/>
      <c r="T87" s="3">
        <f>SUM(T88:T91)</f>
        <v>35171744.150000006</v>
      </c>
      <c r="U87" s="35">
        <v>35250000</v>
      </c>
      <c r="V87" s="43">
        <f>U87/N87</f>
        <v>1</v>
      </c>
      <c r="W87" s="40">
        <f>V87*T87</f>
        <v>35171744.150000006</v>
      </c>
      <c r="X87" s="42">
        <v>35250000</v>
      </c>
      <c r="Y87" s="96">
        <f>W87/X87*100</f>
        <v>99.777997588652497</v>
      </c>
      <c r="Z87" s="95"/>
    </row>
    <row r="88" spans="1:26" s="5" customFormat="1" x14ac:dyDescent="0.25">
      <c r="A88" s="32"/>
      <c r="B88" s="32"/>
      <c r="C88" s="60"/>
      <c r="D88" s="32" t="s">
        <v>36</v>
      </c>
      <c r="E88" s="53" t="e">
        <f ca="1">_xll.BDP(H88,$E$1)</f>
        <v>#NAME?</v>
      </c>
      <c r="F88" s="49" t="e">
        <f ca="1">_xll.BDP(H88,$F$1)</f>
        <v>#NAME?</v>
      </c>
      <c r="G88" s="49" t="e">
        <f ca="1">_xll.BDP(H88,$G$1)</f>
        <v>#NAME?</v>
      </c>
      <c r="H88" s="26" t="str">
        <f>C88&amp;" Mtge"</f>
        <v xml:space="preserve"> Mtge</v>
      </c>
      <c r="I88" s="32" t="s">
        <v>20</v>
      </c>
      <c r="J88" s="32"/>
      <c r="K88" s="32" t="s">
        <v>46</v>
      </c>
      <c r="L88" s="36" t="s">
        <v>10</v>
      </c>
      <c r="M88" s="71">
        <f>INDEX('CLOIE Pre and Post Crisis Index'!$A:$M,MATCH('08.31.2016'!$O$2,'CLOIE Pre and Post Crisis Index'!$A:$A,0),MATCH('08.31.2016'!L88,'CLOIE Pre and Post Crisis Index'!$1:$1,0))</f>
        <v>166.07346999999999</v>
      </c>
      <c r="N88" s="33">
        <v>24750000</v>
      </c>
      <c r="O88" s="77">
        <v>99.670699999999997</v>
      </c>
      <c r="P88" s="77">
        <v>100.05</v>
      </c>
      <c r="Q88" s="91"/>
      <c r="R88" s="91">
        <f>IF(Q88="Y",P88,O88)</f>
        <v>99.670699999999997</v>
      </c>
      <c r="S88" s="91" t="str">
        <f>IF(Q88="Y",K88,I88)</f>
        <v>JPM Pricing Direct</v>
      </c>
      <c r="T88" s="1">
        <f>IF(Q88="Y",P88*N88/100,O88*N88/100)</f>
        <v>24668498.25</v>
      </c>
      <c r="U88" s="88">
        <f>T88</f>
        <v>24668498.25</v>
      </c>
      <c r="V88" s="21"/>
      <c r="W88" s="41"/>
      <c r="X88" s="26"/>
      <c r="Y88" s="97"/>
      <c r="Z88" s="95"/>
    </row>
    <row r="89" spans="1:26" s="5" customFormat="1" x14ac:dyDescent="0.25">
      <c r="A89" s="26"/>
      <c r="B89" s="26"/>
      <c r="C89" s="63"/>
      <c r="D89" s="26" t="s">
        <v>18</v>
      </c>
      <c r="E89" s="49" t="e">
        <f ca="1">_xll.BDP(H89,$E$1)</f>
        <v>#NAME?</v>
      </c>
      <c r="F89" s="49" t="e">
        <f ca="1">_xll.BDP(H89,$F$1)</f>
        <v>#NAME?</v>
      </c>
      <c r="G89" s="49" t="e">
        <f ca="1">_xll.BDP(H89,$G$1)</f>
        <v>#NAME?</v>
      </c>
      <c r="H89" s="26" t="str">
        <f>C89&amp;" Mtge"</f>
        <v xml:space="preserve"> Mtge</v>
      </c>
      <c r="I89" s="32" t="s">
        <v>20</v>
      </c>
      <c r="J89" s="32"/>
      <c r="K89" s="32" t="s">
        <v>46</v>
      </c>
      <c r="L89" s="7" t="s">
        <v>11</v>
      </c>
      <c r="M89" s="71">
        <f>INDEX('CLOIE Pre and Post Crisis Index'!$A:$M,MATCH('08.31.2016'!$O$2,'CLOIE Pre and Post Crisis Index'!$A:$A,0),MATCH('08.31.2016'!L89,'CLOIE Pre and Post Crisis Index'!$1:$1,0))</f>
        <v>247.98795000000001</v>
      </c>
      <c r="N89" s="33">
        <v>5200000</v>
      </c>
      <c r="O89" s="77">
        <v>100.1778</v>
      </c>
      <c r="P89" s="77">
        <v>100.25</v>
      </c>
      <c r="Q89" s="91"/>
      <c r="R89" s="91">
        <f>IF(Q89="Y",P89,O89)</f>
        <v>100.1778</v>
      </c>
      <c r="S89" s="91" t="str">
        <f>IF(Q89="Y",K89,I89)</f>
        <v>JPM Pricing Direct</v>
      </c>
      <c r="T89" s="1">
        <f>IF(Q89="Y",P89*N89/100,O89*N89/100)</f>
        <v>5209245.5999999996</v>
      </c>
      <c r="U89" s="88">
        <f>U88+T89</f>
        <v>29877743.850000001</v>
      </c>
      <c r="V89" s="21"/>
      <c r="W89" s="41"/>
      <c r="X89" s="26"/>
      <c r="Y89" s="97"/>
      <c r="Z89" s="95"/>
    </row>
    <row r="90" spans="1:26" s="5" customFormat="1" x14ac:dyDescent="0.25">
      <c r="A90" s="26"/>
      <c r="B90" s="26"/>
      <c r="C90" s="63"/>
      <c r="D90" s="26" t="s">
        <v>13</v>
      </c>
      <c r="E90" s="49" t="e">
        <f ca="1">_xll.BDP(H90,$E$1)</f>
        <v>#NAME?</v>
      </c>
      <c r="F90" s="49" t="e">
        <f ca="1">_xll.BDP(H90,$F$1)</f>
        <v>#NAME?</v>
      </c>
      <c r="G90" s="49" t="e">
        <f ca="1">_xll.BDP(H90,$G$1)</f>
        <v>#NAME?</v>
      </c>
      <c r="H90" s="26" t="str">
        <f>C90&amp;" Mtge"</f>
        <v xml:space="preserve"> Mtge</v>
      </c>
      <c r="I90" s="32" t="s">
        <v>20</v>
      </c>
      <c r="J90" s="32"/>
      <c r="K90" s="32" t="s">
        <v>46</v>
      </c>
      <c r="L90" s="6" t="s">
        <v>5</v>
      </c>
      <c r="M90" s="71">
        <f>INDEX('CLOIE Pre and Post Crisis Index'!$A:$M,MATCH('08.31.2016'!$O$2,'CLOIE Pre and Post Crisis Index'!$A:$A,0),MATCH('08.31.2016'!L90,'CLOIE Pre and Post Crisis Index'!$1:$1,0))</f>
        <v>359.72536000000002</v>
      </c>
      <c r="N90" s="33">
        <v>3200000</v>
      </c>
      <c r="O90" s="82">
        <v>100.5964</v>
      </c>
      <c r="P90" s="82">
        <v>100.25</v>
      </c>
      <c r="Q90" s="91"/>
      <c r="R90" s="91">
        <f>IF(Q90="Y",P90,O90)</f>
        <v>100.5964</v>
      </c>
      <c r="S90" s="91" t="str">
        <f>IF(Q90="Y",K90,I90)</f>
        <v>JPM Pricing Direct</v>
      </c>
      <c r="T90" s="1">
        <f>IF(Q90="Y",P90*N90/100,O90*N90/100)</f>
        <v>3219084.8</v>
      </c>
      <c r="U90" s="88">
        <f>U89+T90</f>
        <v>33096828.650000002</v>
      </c>
      <c r="V90" s="21"/>
      <c r="W90" s="41"/>
      <c r="X90" s="26"/>
      <c r="Y90" s="97"/>
      <c r="Z90" s="95"/>
    </row>
    <row r="91" spans="1:26" s="5" customFormat="1" x14ac:dyDescent="0.25">
      <c r="A91" s="27"/>
      <c r="B91" s="27"/>
      <c r="C91" s="64"/>
      <c r="D91" s="27" t="s">
        <v>15</v>
      </c>
      <c r="E91" s="51" t="e">
        <f ca="1">_xll.BDP(H91,$E$1)</f>
        <v>#NAME?</v>
      </c>
      <c r="F91" s="54" t="e">
        <f ca="1">_xll.BDP(H91,$F$1)</f>
        <v>#NAME?</v>
      </c>
      <c r="G91" s="54" t="e">
        <f ca="1">_xll.BDP(H91,$G$1)</f>
        <v>#NAME?</v>
      </c>
      <c r="H91" s="48" t="str">
        <f>C91&amp;" Mtge"</f>
        <v xml:space="preserve"> Mtge</v>
      </c>
      <c r="I91" s="39" t="s">
        <v>20</v>
      </c>
      <c r="J91" s="39"/>
      <c r="K91" s="32" t="s">
        <v>46</v>
      </c>
      <c r="L91" s="11" t="s">
        <v>6</v>
      </c>
      <c r="M91" s="71">
        <f>INDEX('CLOIE Pre and Post Crisis Index'!$A:$M,MATCH('08.31.2016'!$O$2,'CLOIE Pre and Post Crisis Index'!$A:$A,0),MATCH('08.31.2016'!L91,'CLOIE Pre and Post Crisis Index'!$1:$1,0))</f>
        <v>550.64362000000006</v>
      </c>
      <c r="N91" s="23">
        <v>2100000</v>
      </c>
      <c r="O91" s="83">
        <v>98.805499999999995</v>
      </c>
      <c r="P91" s="82">
        <v>100</v>
      </c>
      <c r="Q91" s="91"/>
      <c r="R91" s="94">
        <f>IF(Q91="Y",P91,O91)</f>
        <v>98.805499999999995</v>
      </c>
      <c r="S91" s="94" t="str">
        <f>IF(Q91="Y",K91,I91)</f>
        <v>JPM Pricing Direct</v>
      </c>
      <c r="T91" s="31">
        <f>IF(Q91="Y",P91*N91/100,O91*N91/100)</f>
        <v>2074915.5</v>
      </c>
      <c r="U91" s="88">
        <f>U90+T91</f>
        <v>35171744.150000006</v>
      </c>
      <c r="V91" s="89" t="b">
        <f>U91=T87</f>
        <v>1</v>
      </c>
      <c r="W91" s="17"/>
      <c r="X91" s="27"/>
      <c r="Y91" s="98"/>
      <c r="Z91" s="95"/>
    </row>
    <row r="92" spans="1:26" s="5" customFormat="1" x14ac:dyDescent="0.25">
      <c r="A92" s="37"/>
      <c r="B92" s="37"/>
      <c r="C92" s="59"/>
      <c r="D92" s="37"/>
      <c r="E92" s="50"/>
      <c r="F92" s="50"/>
      <c r="G92" s="50"/>
      <c r="H92" s="37"/>
      <c r="I92" s="37"/>
      <c r="J92" s="37"/>
      <c r="K92" s="37"/>
      <c r="L92" s="38"/>
      <c r="M92" s="72"/>
      <c r="N92" s="28">
        <f>SUM(N93:N98)</f>
        <v>22197500</v>
      </c>
      <c r="O92" s="81"/>
      <c r="P92" s="81"/>
      <c r="Q92" s="90" t="str">
        <f>IFERROR(IF(MATCH("Y",Q93:Q98,0)&gt;0,"Y",""),"")</f>
        <v/>
      </c>
      <c r="R92" s="93"/>
      <c r="S92" s="93"/>
      <c r="T92" s="3">
        <f>SUM(T93:T98)</f>
        <v>22216961.594999999</v>
      </c>
      <c r="U92" s="35">
        <v>22197500</v>
      </c>
      <c r="V92" s="43">
        <f>U92/N92</f>
        <v>1</v>
      </c>
      <c r="W92" s="40">
        <f>V92*T92</f>
        <v>22216961.594999999</v>
      </c>
      <c r="X92" s="42">
        <v>22197500</v>
      </c>
      <c r="Y92" s="96">
        <f>W92/X92*100</f>
        <v>100.08767471562112</v>
      </c>
      <c r="Z92" s="95"/>
    </row>
    <row r="93" spans="1:26" s="5" customFormat="1" x14ac:dyDescent="0.25">
      <c r="A93" s="32"/>
      <c r="B93" s="32"/>
      <c r="C93" s="60"/>
      <c r="D93" s="32" t="s">
        <v>36</v>
      </c>
      <c r="E93" s="53" t="e">
        <f ca="1">_xll.BDP(H93,$E$1)</f>
        <v>#NAME?</v>
      </c>
      <c r="F93" s="49" t="e">
        <f ca="1">_xll.BDP(H93,$F$1)</f>
        <v>#NAME?</v>
      </c>
      <c r="G93" s="49" t="e">
        <f ca="1">_xll.BDP(H93,$G$1)</f>
        <v>#NAME?</v>
      </c>
      <c r="H93" s="26" t="str">
        <f>C93&amp;" Mtge"</f>
        <v xml:space="preserve"> Mtge</v>
      </c>
      <c r="I93" s="32" t="s">
        <v>20</v>
      </c>
      <c r="J93" s="32"/>
      <c r="K93" s="32" t="s">
        <v>51</v>
      </c>
      <c r="L93" s="8" t="s">
        <v>10</v>
      </c>
      <c r="M93" s="71">
        <f>INDEX('CLOIE Pre and Post Crisis Index'!$A:$M,MATCH('08.31.2016'!$O$2,'CLOIE Pre and Post Crisis Index'!$A:$A,0),MATCH('08.31.2016'!L93,'CLOIE Pre and Post Crisis Index'!$1:$1,0))</f>
        <v>166.07346999999999</v>
      </c>
      <c r="N93" s="33">
        <v>15800000</v>
      </c>
      <c r="O93" s="77">
        <v>99.82</v>
      </c>
      <c r="P93" s="77">
        <v>9.86</v>
      </c>
      <c r="Q93" s="91"/>
      <c r="R93" s="91">
        <f t="shared" ref="R93:R98" si="10">IF(Q93="Y",P93,O93)</f>
        <v>99.82</v>
      </c>
      <c r="S93" s="91" t="str">
        <f>IF(Q93="Y",K93,I93)</f>
        <v>JPM Pricing Direct</v>
      </c>
      <c r="T93" s="1">
        <f>IF(Q93="Y",P93*N93/100,O93*N93/100)</f>
        <v>15771560</v>
      </c>
      <c r="U93" s="88">
        <f>T93</f>
        <v>15771560</v>
      </c>
      <c r="V93" s="21"/>
      <c r="W93" s="41"/>
      <c r="X93" s="26"/>
      <c r="Y93" s="97"/>
      <c r="Z93" s="95"/>
    </row>
    <row r="94" spans="1:26" s="5" customFormat="1" x14ac:dyDescent="0.25">
      <c r="A94" s="32"/>
      <c r="B94" s="32"/>
      <c r="C94" s="60"/>
      <c r="D94" s="32" t="s">
        <v>36</v>
      </c>
      <c r="E94" s="53" t="e">
        <f ca="1">_xll.BDP(H94,$E$1)</f>
        <v>#NAME?</v>
      </c>
      <c r="F94" s="49" t="e">
        <f ca="1">_xll.BDP(H94,$F$1)</f>
        <v>#NAME?</v>
      </c>
      <c r="G94" s="49" t="e">
        <f ca="1">_xll.BDP(H94,$G$1)</f>
        <v>#NAME?</v>
      </c>
      <c r="H94" s="26" t="str">
        <f>C94&amp;" Mtge"</f>
        <v xml:space="preserve"> Mtge</v>
      </c>
      <c r="I94" s="32" t="s">
        <v>20</v>
      </c>
      <c r="J94" s="32"/>
      <c r="K94" s="32" t="s">
        <v>51</v>
      </c>
      <c r="L94" s="8" t="s">
        <v>10</v>
      </c>
      <c r="M94" s="71">
        <f>INDEX('CLOIE Pre and Post Crisis Index'!$A:$M,MATCH('08.31.2016'!$O$2,'CLOIE Pre and Post Crisis Index'!$A:$A,0),MATCH('08.31.2016'!L94,'CLOIE Pre and Post Crisis Index'!$1:$1,0))</f>
        <v>166.07346999999999</v>
      </c>
      <c r="N94" s="33">
        <v>375000</v>
      </c>
      <c r="O94" s="77">
        <v>101.8379</v>
      </c>
      <c r="P94" s="77">
        <v>100</v>
      </c>
      <c r="Q94" s="91"/>
      <c r="R94" s="91">
        <f t="shared" si="10"/>
        <v>101.8379</v>
      </c>
      <c r="S94" s="91" t="str">
        <f>IF(Q94="Y",K94,I94)</f>
        <v>JPM Pricing Direct</v>
      </c>
      <c r="T94" s="1">
        <f>IF(Q94="Y",P94*N94/100,O94*N94/100)</f>
        <v>381892.125</v>
      </c>
      <c r="U94" s="88">
        <f>U93+T94</f>
        <v>16153452.125</v>
      </c>
      <c r="V94" s="21"/>
      <c r="W94" s="41"/>
      <c r="X94" s="26"/>
      <c r="Y94" s="97"/>
      <c r="Z94" s="95"/>
    </row>
    <row r="95" spans="1:26" s="5" customFormat="1" x14ac:dyDescent="0.25">
      <c r="A95" s="32"/>
      <c r="B95" s="32"/>
      <c r="C95" s="60"/>
      <c r="D95" s="32" t="s">
        <v>14</v>
      </c>
      <c r="E95" s="53" t="e">
        <f ca="1">_xll.BDP(H95,$E$1)</f>
        <v>#NAME?</v>
      </c>
      <c r="F95" s="49" t="e">
        <f ca="1">_xll.BDP(H95,$F$1)</f>
        <v>#NAME?</v>
      </c>
      <c r="G95" s="49" t="e">
        <f ca="1">_xll.BDP(H95,$G$1)</f>
        <v>#NAME?</v>
      </c>
      <c r="H95" s="26" t="str">
        <f>C95&amp;" Mtge"</f>
        <v xml:space="preserve"> Mtge</v>
      </c>
      <c r="I95" s="32" t="s">
        <v>20</v>
      </c>
      <c r="J95" s="32"/>
      <c r="K95" s="32" t="s">
        <v>51</v>
      </c>
      <c r="L95" s="8" t="s">
        <v>11</v>
      </c>
      <c r="M95" s="71">
        <f>INDEX('CLOIE Pre and Post Crisis Index'!$A:$M,MATCH('08.31.2016'!$O$2,'CLOIE Pre and Post Crisis Index'!$A:$A,0),MATCH('08.31.2016'!L95,'CLOIE Pre and Post Crisis Index'!$1:$1,0))</f>
        <v>247.98795000000001</v>
      </c>
      <c r="N95" s="33">
        <v>1510000</v>
      </c>
      <c r="O95" s="77">
        <v>100.2677</v>
      </c>
      <c r="P95" s="77">
        <v>100</v>
      </c>
      <c r="Q95" s="91"/>
      <c r="R95" s="91">
        <f t="shared" si="10"/>
        <v>100.2677</v>
      </c>
      <c r="S95" s="91" t="str">
        <f>IF(Q95="Y",K95,I95)</f>
        <v>JPM Pricing Direct</v>
      </c>
      <c r="T95" s="1">
        <f>IF(Q95="Y",P95*N95/100,O95*N95/100)</f>
        <v>1514042.27</v>
      </c>
      <c r="U95" s="88">
        <f>U94+T95</f>
        <v>17667494.395</v>
      </c>
      <c r="V95" s="21"/>
      <c r="W95" s="41"/>
      <c r="X95" s="26"/>
      <c r="Y95" s="97"/>
      <c r="Z95" s="95"/>
    </row>
    <row r="96" spans="1:26" s="5" customFormat="1" x14ac:dyDescent="0.25">
      <c r="A96" s="32"/>
      <c r="B96" s="32"/>
      <c r="C96" s="60"/>
      <c r="D96" s="32" t="s">
        <v>14</v>
      </c>
      <c r="E96" s="53" t="e">
        <f ca="1">_xll.BDP(H96,$E$1)</f>
        <v>#NAME?</v>
      </c>
      <c r="F96" s="49" t="e">
        <f ca="1">_xll.BDP(H96,$F$1)</f>
        <v>#NAME?</v>
      </c>
      <c r="G96" s="49" t="e">
        <f ca="1">_xll.BDP(H96,$G$1)</f>
        <v>#NAME?</v>
      </c>
      <c r="H96" s="26" t="str">
        <f>C96&amp;" Mtge"</f>
        <v xml:space="preserve"> Mtge</v>
      </c>
      <c r="I96" s="32" t="s">
        <v>20</v>
      </c>
      <c r="J96" s="32"/>
      <c r="K96" s="32" t="s">
        <v>51</v>
      </c>
      <c r="L96" s="8" t="s">
        <v>11</v>
      </c>
      <c r="M96" s="71">
        <f>INDEX('CLOIE Pre and Post Crisis Index'!$A:$M,MATCH('08.31.2016'!$O$2,'CLOIE Pre and Post Crisis Index'!$A:$A,0),MATCH('08.31.2016'!L96,'CLOIE Pre and Post Crisis Index'!$1:$1,0))</f>
        <v>247.98795000000001</v>
      </c>
      <c r="N96" s="33">
        <v>1500000</v>
      </c>
      <c r="O96" s="77">
        <v>101.4259</v>
      </c>
      <c r="P96" s="77">
        <v>100</v>
      </c>
      <c r="Q96" s="91"/>
      <c r="R96" s="91">
        <f t="shared" si="10"/>
        <v>101.4259</v>
      </c>
      <c r="S96" s="91" t="str">
        <f>IF(Q96="Y",K96,I96)</f>
        <v>JPM Pricing Direct</v>
      </c>
      <c r="T96" s="1">
        <f>IF(Q96="Y",P96*N96/100,O96*N96/100)</f>
        <v>1521388.5</v>
      </c>
      <c r="U96" s="88">
        <f t="shared" ref="U96:U98" si="11">U95+T96</f>
        <v>19188882.895</v>
      </c>
      <c r="V96" s="21"/>
      <c r="W96" s="41"/>
      <c r="X96" s="26"/>
      <c r="Y96" s="97"/>
      <c r="Z96" s="95"/>
    </row>
    <row r="97" spans="1:26" s="5" customFormat="1" x14ac:dyDescent="0.25">
      <c r="A97" s="32"/>
      <c r="B97" s="32"/>
      <c r="C97" s="60"/>
      <c r="D97" s="32" t="s">
        <v>13</v>
      </c>
      <c r="E97" s="53" t="e">
        <f ca="1">_xll.BDP(H97,$E$1)</f>
        <v>#NAME?</v>
      </c>
      <c r="F97" s="49" t="e">
        <f ca="1">_xll.BDP(H97,$F$1)</f>
        <v>#NAME?</v>
      </c>
      <c r="G97" s="49" t="e">
        <f ca="1">_xll.BDP(H97,$G$1)</f>
        <v>#NAME?</v>
      </c>
      <c r="H97" s="26" t="str">
        <f t="shared" ref="H97:H98" si="12">C97&amp;" Mtge"</f>
        <v xml:space="preserve"> Mtge</v>
      </c>
      <c r="I97" s="32" t="s">
        <v>20</v>
      </c>
      <c r="J97" s="32"/>
      <c r="K97" s="32" t="s">
        <v>51</v>
      </c>
      <c r="L97" s="8" t="s">
        <v>5</v>
      </c>
      <c r="M97" s="71">
        <f>INDEX('CLOIE Pre and Post Crisis Index'!$A:$M,MATCH('08.31.2016'!$O$2,'CLOIE Pre and Post Crisis Index'!$A:$A,0),MATCH('08.31.2016'!L97,'CLOIE Pre and Post Crisis Index'!$1:$1,0))</f>
        <v>359.72536000000002</v>
      </c>
      <c r="N97" s="33">
        <v>1450000</v>
      </c>
      <c r="O97" s="82">
        <v>100.92310000000001</v>
      </c>
      <c r="P97" s="82">
        <v>100</v>
      </c>
      <c r="Q97" s="91"/>
      <c r="R97" s="91">
        <f t="shared" si="10"/>
        <v>100.92310000000001</v>
      </c>
      <c r="S97" s="91" t="str">
        <f>IF(Q97="Y",K97,I97)</f>
        <v>JPM Pricing Direct</v>
      </c>
      <c r="T97" s="1">
        <f>IF(Q97="Y",P97*N97/100,O97*N97/100)</f>
        <v>1463384.95</v>
      </c>
      <c r="U97" s="88">
        <f t="shared" si="11"/>
        <v>20652267.844999999</v>
      </c>
      <c r="V97" s="21"/>
      <c r="W97" s="41"/>
      <c r="X97" s="26"/>
      <c r="Y97" s="97"/>
      <c r="Z97" s="95"/>
    </row>
    <row r="98" spans="1:26" s="5" customFormat="1" x14ac:dyDescent="0.25">
      <c r="A98" s="32"/>
      <c r="B98" s="32"/>
      <c r="C98" s="60"/>
      <c r="D98" s="32" t="s">
        <v>15</v>
      </c>
      <c r="E98" s="53" t="e">
        <f ca="1">_xll.BDP(H98,$E$1)</f>
        <v>#NAME?</v>
      </c>
      <c r="F98" s="49" t="e">
        <f ca="1">_xll.BDP(H98,$F$1)</f>
        <v>#NAME?</v>
      </c>
      <c r="G98" s="49" t="e">
        <f ca="1">_xll.BDP(H98,$G$1)</f>
        <v>#NAME?</v>
      </c>
      <c r="H98" s="26" t="str">
        <f t="shared" si="12"/>
        <v xml:space="preserve"> Mtge</v>
      </c>
      <c r="I98" s="32" t="s">
        <v>20</v>
      </c>
      <c r="J98" s="32"/>
      <c r="K98" s="32" t="s">
        <v>51</v>
      </c>
      <c r="L98" s="8" t="s">
        <v>6</v>
      </c>
      <c r="M98" s="71">
        <f>INDEX('CLOIE Pre and Post Crisis Index'!$A:$M,MATCH('08.31.2016'!$O$2,'CLOIE Pre and Post Crisis Index'!$A:$A,0),MATCH('08.31.2016'!L98,'CLOIE Pre and Post Crisis Index'!$1:$1,0))</f>
        <v>550.64362000000006</v>
      </c>
      <c r="N98" s="33">
        <v>1562500</v>
      </c>
      <c r="O98" s="82">
        <v>100.1404</v>
      </c>
      <c r="P98" s="82">
        <v>98.5</v>
      </c>
      <c r="Q98" s="91"/>
      <c r="R98" s="94">
        <f t="shared" si="10"/>
        <v>100.1404</v>
      </c>
      <c r="S98" s="94" t="str">
        <f>IF(Q98="Y",K98,I98)</f>
        <v>JPM Pricing Direct</v>
      </c>
      <c r="T98" s="1">
        <f>IF(Q98="Y",P98*N98/100,O98*N98/100)</f>
        <v>1564693.75</v>
      </c>
      <c r="U98" s="88">
        <f t="shared" si="11"/>
        <v>22216961.594999999</v>
      </c>
      <c r="V98" s="89" t="b">
        <f>U98=T92</f>
        <v>1</v>
      </c>
      <c r="W98" s="41"/>
      <c r="X98" s="26"/>
      <c r="Y98" s="97"/>
      <c r="Z98" s="95"/>
    </row>
    <row r="99" spans="1:26" s="5" customFormat="1" x14ac:dyDescent="0.25">
      <c r="A99" s="37"/>
      <c r="B99" s="37"/>
      <c r="C99" s="59"/>
      <c r="D99" s="37"/>
      <c r="E99" s="50"/>
      <c r="F99" s="50"/>
      <c r="G99" s="50"/>
      <c r="H99" s="37"/>
      <c r="I99" s="37"/>
      <c r="J99" s="37"/>
      <c r="K99" s="37"/>
      <c r="L99" s="38"/>
      <c r="M99" s="72"/>
      <c r="N99" s="28">
        <f>SUM(N100:N104)</f>
        <v>21870000</v>
      </c>
      <c r="O99" s="81"/>
      <c r="P99" s="81"/>
      <c r="Q99" s="90" t="str">
        <f>IFERROR(IF(MATCH("Y",Q100:Q104,0)&gt;0,"Y",""),"")</f>
        <v/>
      </c>
      <c r="R99" s="93"/>
      <c r="S99" s="93"/>
      <c r="T99" s="3">
        <f>SUM(T100:T104)</f>
        <v>21932393.73</v>
      </c>
      <c r="U99" s="35">
        <v>21870000</v>
      </c>
      <c r="V99" s="43">
        <f>U99/N99</f>
        <v>1</v>
      </c>
      <c r="W99" s="40">
        <f>V99*T99</f>
        <v>21932393.73</v>
      </c>
      <c r="X99" s="42">
        <v>21870000</v>
      </c>
      <c r="Y99" s="96">
        <f>W99/X99*100</f>
        <v>100.28529368998629</v>
      </c>
      <c r="Z99" s="95"/>
    </row>
    <row r="100" spans="1:26" s="5" customFormat="1" x14ac:dyDescent="0.25">
      <c r="A100" s="32"/>
      <c r="B100" s="32"/>
      <c r="C100" s="60"/>
      <c r="D100" s="32" t="s">
        <v>36</v>
      </c>
      <c r="E100" s="53" t="e">
        <f ca="1">_xll.BDP(H100,$E$1)</f>
        <v>#NAME?</v>
      </c>
      <c r="F100" s="49" t="e">
        <f ca="1">_xll.BDP(H100,$F$1)</f>
        <v>#NAME?</v>
      </c>
      <c r="G100" s="49" t="e">
        <f ca="1">_xll.BDP(H100,$G$1)</f>
        <v>#NAME?</v>
      </c>
      <c r="H100" s="26" t="str">
        <f t="shared" ref="H100:H109" si="13">C100&amp;" Mtge"</f>
        <v xml:space="preserve"> Mtge</v>
      </c>
      <c r="I100" s="32" t="s">
        <v>20</v>
      </c>
      <c r="J100" s="32"/>
      <c r="K100" s="32" t="s">
        <v>49</v>
      </c>
      <c r="L100" s="8" t="s">
        <v>10</v>
      </c>
      <c r="M100" s="71">
        <f>INDEX('CLOIE Pre and Post Crisis Index'!$A:$M,MATCH('08.31.2016'!$O$2,'CLOIE Pre and Post Crisis Index'!$A:$A,0),MATCH('08.31.2016'!L100,'CLOIE Pre and Post Crisis Index'!$1:$1,0))</f>
        <v>166.07346999999999</v>
      </c>
      <c r="N100" s="33">
        <v>15500000</v>
      </c>
      <c r="O100" s="77">
        <v>100.0669</v>
      </c>
      <c r="P100" s="77">
        <v>100.05000305175781</v>
      </c>
      <c r="Q100" s="91"/>
      <c r="R100" s="91">
        <f>IF(Q100="Y",P100,O100)</f>
        <v>100.0669</v>
      </c>
      <c r="S100" s="91" t="str">
        <f>IF(Q100="Y",K100,I100)</f>
        <v>JPM Pricing Direct</v>
      </c>
      <c r="T100" s="1">
        <f>IF(Q100="Y",P100*N100/100,O100*N100/100)</f>
        <v>15510369.5</v>
      </c>
      <c r="U100" s="88">
        <f>T100</f>
        <v>15510369.5</v>
      </c>
      <c r="V100" s="21"/>
      <c r="W100" s="41"/>
      <c r="X100" s="26"/>
      <c r="Y100" s="1"/>
      <c r="Z100" s="95"/>
    </row>
    <row r="101" spans="1:26" s="5" customFormat="1" x14ac:dyDescent="0.25">
      <c r="A101" s="32"/>
      <c r="B101" s="32"/>
      <c r="C101" s="60"/>
      <c r="D101" s="32" t="s">
        <v>14</v>
      </c>
      <c r="E101" s="53" t="e">
        <f ca="1">_xll.BDP(H101,$E$1)</f>
        <v>#NAME?</v>
      </c>
      <c r="F101" s="49" t="e">
        <f ca="1">_xll.BDP(H101,$F$1)</f>
        <v>#NAME?</v>
      </c>
      <c r="G101" s="49" t="e">
        <f ca="1">_xll.BDP(H101,$G$1)</f>
        <v>#NAME?</v>
      </c>
      <c r="H101" s="26" t="str">
        <f t="shared" si="13"/>
        <v xml:space="preserve"> Mtge</v>
      </c>
      <c r="I101" s="32" t="s">
        <v>20</v>
      </c>
      <c r="J101" s="32"/>
      <c r="K101" s="32" t="s">
        <v>49</v>
      </c>
      <c r="L101" s="8" t="s">
        <v>11</v>
      </c>
      <c r="M101" s="71">
        <f>INDEX('CLOIE Pre and Post Crisis Index'!$A:$M,MATCH('08.31.2016'!$O$2,'CLOIE Pre and Post Crisis Index'!$A:$A,0),MATCH('08.31.2016'!L101,'CLOIE Pre and Post Crisis Index'!$1:$1,0))</f>
        <v>247.98795000000001</v>
      </c>
      <c r="N101" s="33">
        <v>2260000</v>
      </c>
      <c r="O101" s="82">
        <v>100.4033</v>
      </c>
      <c r="P101" s="82">
        <v>100.25</v>
      </c>
      <c r="Q101" s="91"/>
      <c r="R101" s="91">
        <f>IF(Q101="Y",P101,O101)</f>
        <v>100.4033</v>
      </c>
      <c r="S101" s="91" t="str">
        <f>IF(Q101="Y",K101,I101)</f>
        <v>JPM Pricing Direct</v>
      </c>
      <c r="T101" s="1">
        <f>IF(Q101="Y",P101*N101/100,O101*N101/100)</f>
        <v>2269114.58</v>
      </c>
      <c r="U101" s="88">
        <f>U100+T101</f>
        <v>17779484.079999998</v>
      </c>
      <c r="V101" s="21"/>
      <c r="W101" s="41"/>
      <c r="X101" s="26"/>
      <c r="Y101" s="1"/>
      <c r="Z101" s="95"/>
    </row>
    <row r="102" spans="1:26" s="5" customFormat="1" x14ac:dyDescent="0.25">
      <c r="A102" s="32"/>
      <c r="B102" s="32"/>
      <c r="C102" s="60"/>
      <c r="D102" s="32" t="s">
        <v>14</v>
      </c>
      <c r="E102" s="53" t="e">
        <f ca="1">_xll.BDP(H102,$E$1)</f>
        <v>#NAME?</v>
      </c>
      <c r="F102" s="49" t="e">
        <f ca="1">_xll.BDP(H102,$F$1)</f>
        <v>#NAME?</v>
      </c>
      <c r="G102" s="49" t="e">
        <f ca="1">_xll.BDP(H102,$G$1)</f>
        <v>#NAME?</v>
      </c>
      <c r="H102" s="26" t="str">
        <f t="shared" si="13"/>
        <v xml:space="preserve"> Mtge</v>
      </c>
      <c r="I102" s="32" t="s">
        <v>20</v>
      </c>
      <c r="J102" s="32"/>
      <c r="K102" s="32" t="s">
        <v>49</v>
      </c>
      <c r="L102" s="8" t="s">
        <v>11</v>
      </c>
      <c r="M102" s="71">
        <f>INDEX('CLOIE Pre and Post Crisis Index'!$A:$M,MATCH('08.31.2016'!$O$2,'CLOIE Pre and Post Crisis Index'!$A:$A,0),MATCH('08.31.2016'!L102,'CLOIE Pre and Post Crisis Index'!$1:$1,0))</f>
        <v>247.98795000000001</v>
      </c>
      <c r="N102" s="33">
        <v>1100000</v>
      </c>
      <c r="O102" s="77">
        <v>101.5046</v>
      </c>
      <c r="P102" s="77">
        <v>0</v>
      </c>
      <c r="Q102" s="91"/>
      <c r="R102" s="91">
        <f>IF(Q102="Y",P102,O102)</f>
        <v>101.5046</v>
      </c>
      <c r="S102" s="91" t="str">
        <f>IF(Q102="Y",K102,I102)</f>
        <v>JPM Pricing Direct</v>
      </c>
      <c r="T102" s="1">
        <f>IF(Q102="Y",P102*N102/100,O102*N102/100)</f>
        <v>1116550.6000000001</v>
      </c>
      <c r="U102" s="88">
        <f>U101+T102</f>
        <v>18896034.68</v>
      </c>
      <c r="V102" s="21"/>
      <c r="W102" s="41"/>
      <c r="X102" s="26"/>
      <c r="Y102" s="1"/>
      <c r="Z102" s="95"/>
    </row>
    <row r="103" spans="1:26" s="5" customFormat="1" x14ac:dyDescent="0.25">
      <c r="A103" s="32"/>
      <c r="B103" s="32"/>
      <c r="C103" s="60"/>
      <c r="D103" s="32" t="s">
        <v>13</v>
      </c>
      <c r="E103" s="53" t="e">
        <f ca="1">_xll.BDP(H103,$E$1)</f>
        <v>#NAME?</v>
      </c>
      <c r="F103" s="49" t="e">
        <f ca="1">_xll.BDP(H103,$F$1)</f>
        <v>#NAME?</v>
      </c>
      <c r="G103" s="49" t="e">
        <f ca="1">_xll.BDP(H103,$G$1)</f>
        <v>#NAME?</v>
      </c>
      <c r="H103" s="26" t="str">
        <f t="shared" si="13"/>
        <v xml:space="preserve"> Mtge</v>
      </c>
      <c r="I103" s="32" t="s">
        <v>20</v>
      </c>
      <c r="J103" s="32"/>
      <c r="K103" s="32" t="s">
        <v>49</v>
      </c>
      <c r="L103" s="6" t="s">
        <v>5</v>
      </c>
      <c r="M103" s="71">
        <f>INDEX('CLOIE Pre and Post Crisis Index'!$A:$M,MATCH('08.31.2016'!$O$2,'CLOIE Pre and Post Crisis Index'!$A:$A,0),MATCH('08.31.2016'!L103,'CLOIE Pre and Post Crisis Index'!$1:$1,0))</f>
        <v>359.72536000000002</v>
      </c>
      <c r="N103" s="33">
        <v>1445000</v>
      </c>
      <c r="O103" s="82">
        <v>100.9379</v>
      </c>
      <c r="P103" s="82">
        <v>100.56369781494141</v>
      </c>
      <c r="Q103" s="91"/>
      <c r="R103" s="91">
        <f>IF(Q103="Y",P103,O103)</f>
        <v>100.9379</v>
      </c>
      <c r="S103" s="91" t="str">
        <f>IF(Q103="Y",K103,I103)</f>
        <v>JPM Pricing Direct</v>
      </c>
      <c r="T103" s="1">
        <f>IF(Q103="Y",P103*N103/100,O103*N103/100)</f>
        <v>1458552.655</v>
      </c>
      <c r="U103" s="88">
        <f t="shared" ref="U103:U104" si="14">U102+T103</f>
        <v>20354587.335000001</v>
      </c>
      <c r="V103" s="21"/>
      <c r="W103" s="41"/>
      <c r="X103" s="26"/>
      <c r="Y103" s="1"/>
      <c r="Z103" s="95"/>
    </row>
    <row r="104" spans="1:26" s="5" customFormat="1" x14ac:dyDescent="0.25">
      <c r="A104" s="32"/>
      <c r="B104" s="32"/>
      <c r="C104" s="60"/>
      <c r="D104" s="32" t="s">
        <v>15</v>
      </c>
      <c r="E104" s="53" t="e">
        <f ca="1">_xll.BDP(H104,$E$1)</f>
        <v>#NAME?</v>
      </c>
      <c r="F104" s="49" t="e">
        <f ca="1">_xll.BDP(H104,$F$1)</f>
        <v>#NAME?</v>
      </c>
      <c r="G104" s="49" t="e">
        <f ca="1">_xll.BDP(H104,$G$1)</f>
        <v>#NAME?</v>
      </c>
      <c r="H104" s="26" t="str">
        <f t="shared" si="13"/>
        <v xml:space="preserve"> Mtge</v>
      </c>
      <c r="I104" s="32" t="s">
        <v>20</v>
      </c>
      <c r="J104" s="32"/>
      <c r="K104" s="32" t="s">
        <v>49</v>
      </c>
      <c r="L104" s="10" t="s">
        <v>6</v>
      </c>
      <c r="M104" s="71">
        <f>INDEX('CLOIE Pre and Post Crisis Index'!$A:$M,MATCH('08.31.2016'!$O$2,'CLOIE Pre and Post Crisis Index'!$A:$A,0),MATCH('08.31.2016'!L104,'CLOIE Pre and Post Crisis Index'!$1:$1,0))</f>
        <v>550.64362000000006</v>
      </c>
      <c r="N104" s="33">
        <v>1565000</v>
      </c>
      <c r="O104" s="82">
        <v>100.81829999999999</v>
      </c>
      <c r="P104" s="82">
        <v>100.78900146484375</v>
      </c>
      <c r="Q104" s="91"/>
      <c r="R104" s="94">
        <f>IF(Q104="Y",P104,O104)</f>
        <v>100.81829999999999</v>
      </c>
      <c r="S104" s="94" t="str">
        <f>IF(Q104="Y",K104,I104)</f>
        <v>JPM Pricing Direct</v>
      </c>
      <c r="T104" s="1">
        <f>IF(Q104="Y",P104*N104/100,O104*N104/100)</f>
        <v>1577806.395</v>
      </c>
      <c r="U104" s="88">
        <f t="shared" si="14"/>
        <v>21932393.73</v>
      </c>
      <c r="V104" s="89" t="b">
        <f>U104=T99</f>
        <v>1</v>
      </c>
      <c r="W104" s="41"/>
      <c r="X104" s="26"/>
      <c r="Y104" s="1"/>
      <c r="Z104" s="95"/>
    </row>
    <row r="105" spans="1:26" s="5" customFormat="1" x14ac:dyDescent="0.25">
      <c r="A105" s="37"/>
      <c r="B105" s="37"/>
      <c r="C105" s="59"/>
      <c r="D105" s="37"/>
      <c r="E105" s="50"/>
      <c r="F105" s="50"/>
      <c r="G105" s="50"/>
      <c r="H105" s="37" t="str">
        <f t="shared" si="13"/>
        <v xml:space="preserve"> Mtge</v>
      </c>
      <c r="I105" s="37"/>
      <c r="J105" s="37"/>
      <c r="K105" s="37"/>
      <c r="L105" s="38"/>
      <c r="M105" s="72"/>
      <c r="N105" s="28">
        <f>SUM(N106:N109)</f>
        <v>20550000</v>
      </c>
      <c r="O105" s="81"/>
      <c r="P105" s="81"/>
      <c r="Q105" s="90"/>
      <c r="R105" s="93"/>
      <c r="S105" s="93"/>
      <c r="T105" s="3">
        <f>SUM(T106:T109)</f>
        <v>20619489</v>
      </c>
      <c r="U105" s="35">
        <v>20550000</v>
      </c>
      <c r="V105" s="43">
        <f>U105/N105</f>
        <v>1</v>
      </c>
      <c r="W105" s="40">
        <f>V105*T105</f>
        <v>20619489</v>
      </c>
      <c r="X105" s="42">
        <v>20550000</v>
      </c>
      <c r="Y105" s="96">
        <f>W105/X105*100</f>
        <v>100.33814598540145</v>
      </c>
      <c r="Z105" s="95"/>
    </row>
    <row r="106" spans="1:26" s="5" customFormat="1" x14ac:dyDescent="0.25">
      <c r="A106" s="32"/>
      <c r="B106" s="32"/>
      <c r="C106" s="118"/>
      <c r="D106" s="32" t="s">
        <v>36</v>
      </c>
      <c r="E106" s="53" t="e">
        <f ca="1">_xll.BDP(H106,$E$1)</f>
        <v>#NAME?</v>
      </c>
      <c r="F106" s="49" t="e">
        <f ca="1">_xll.BDP(H106,$F$1)</f>
        <v>#NAME?</v>
      </c>
      <c r="G106" s="49" t="e">
        <f ca="1">_xll.BDP(H106,$G$1)</f>
        <v>#NAME?</v>
      </c>
      <c r="H106" s="26" t="str">
        <f t="shared" si="13"/>
        <v xml:space="preserve"> Mtge</v>
      </c>
      <c r="I106" s="32" t="s">
        <v>20</v>
      </c>
      <c r="J106" s="32"/>
      <c r="K106" s="32" t="s">
        <v>49</v>
      </c>
      <c r="L106" s="36"/>
      <c r="M106" s="71" t="e">
        <f>INDEX('CLOIE Pre and Post Crisis Index'!$A:$M,MATCH('08.31.2016'!$O$2,'CLOIE Pre and Post Crisis Index'!$A:$A,0),MATCH('08.31.2016'!L106,'CLOIE Pre and Post Crisis Index'!$1:$1,0))</f>
        <v>#N/A</v>
      </c>
      <c r="N106" s="33">
        <v>15500000</v>
      </c>
      <c r="O106" s="77">
        <v>100.2161</v>
      </c>
      <c r="P106" s="77"/>
      <c r="Q106" s="91"/>
      <c r="R106" s="91">
        <f>IF(Q106="Y",P106,O106)</f>
        <v>100.2161</v>
      </c>
      <c r="S106" s="91" t="str">
        <f>IF(Q106="Y",K106,I106)</f>
        <v>JPM Pricing Direct</v>
      </c>
      <c r="T106" s="1">
        <f>IF(Q106="Y",P106*N106/100,O106*N106/100)</f>
        <v>15533495.5</v>
      </c>
      <c r="U106" s="88">
        <f>T106</f>
        <v>15533495.5</v>
      </c>
      <c r="V106" s="21"/>
      <c r="W106" s="41"/>
      <c r="X106" s="26"/>
      <c r="Y106" s="100"/>
      <c r="Z106" s="95"/>
    </row>
    <row r="107" spans="1:26" s="5" customFormat="1" x14ac:dyDescent="0.25">
      <c r="A107" s="32"/>
      <c r="B107" s="32"/>
      <c r="C107" s="118"/>
      <c r="D107" s="32" t="s">
        <v>14</v>
      </c>
      <c r="E107" s="53" t="e">
        <f ca="1">_xll.BDP(H107,$E$1)</f>
        <v>#NAME?</v>
      </c>
      <c r="F107" s="49" t="e">
        <f ca="1">_xll.BDP(H107,$F$1)</f>
        <v>#NAME?</v>
      </c>
      <c r="G107" s="49" t="e">
        <f ca="1">_xll.BDP(H107,$G$1)</f>
        <v>#NAME?</v>
      </c>
      <c r="H107" s="26" t="str">
        <f t="shared" si="13"/>
        <v xml:space="preserve"> Mtge</v>
      </c>
      <c r="I107" s="32" t="s">
        <v>20</v>
      </c>
      <c r="J107" s="32"/>
      <c r="K107" s="32" t="s">
        <v>49</v>
      </c>
      <c r="L107" s="9"/>
      <c r="M107" s="71" t="e">
        <f>INDEX('CLOIE Pre and Post Crisis Index'!$A:$M,MATCH('08.31.2016'!$O$2,'CLOIE Pre and Post Crisis Index'!$A:$A,0),MATCH('08.31.2016'!L107,'CLOIE Pre and Post Crisis Index'!$1:$1,0))</f>
        <v>#N/A</v>
      </c>
      <c r="N107" s="33">
        <v>2750000</v>
      </c>
      <c r="O107" s="77">
        <v>100.2666</v>
      </c>
      <c r="P107" s="77"/>
      <c r="Q107" s="91"/>
      <c r="R107" s="91">
        <f>IF(Q107="Y",P107,O107)</f>
        <v>100.2666</v>
      </c>
      <c r="S107" s="91" t="str">
        <f>IF(Q107="Y",K107,I107)</f>
        <v>JPM Pricing Direct</v>
      </c>
      <c r="T107" s="1">
        <f>IF(Q107="Y",P107*N107/100,O107*N107/100)</f>
        <v>2757331.5</v>
      </c>
      <c r="U107" s="88">
        <f>U106+T107</f>
        <v>18290827</v>
      </c>
      <c r="V107" s="21"/>
      <c r="W107" s="41"/>
      <c r="X107" s="26"/>
      <c r="Y107" s="100"/>
      <c r="Z107" s="95"/>
    </row>
    <row r="108" spans="1:26" s="5" customFormat="1" x14ac:dyDescent="0.25">
      <c r="A108" s="32"/>
      <c r="B108" s="32"/>
      <c r="C108" s="118"/>
      <c r="D108" s="32" t="s">
        <v>14</v>
      </c>
      <c r="E108" s="53" t="e">
        <f ca="1">_xll.BDP(H108,$E$1)</f>
        <v>#NAME?</v>
      </c>
      <c r="F108" s="49" t="e">
        <f ca="1">_xll.BDP(H108,$F$1)</f>
        <v>#NAME?</v>
      </c>
      <c r="G108" s="49" t="e">
        <f ca="1">_xll.BDP(H108,$G$1)</f>
        <v>#NAME?</v>
      </c>
      <c r="H108" s="26" t="str">
        <f t="shared" si="13"/>
        <v xml:space="preserve"> Mtge</v>
      </c>
      <c r="I108" s="32" t="s">
        <v>20</v>
      </c>
      <c r="J108" s="32"/>
      <c r="K108" s="32" t="s">
        <v>49</v>
      </c>
      <c r="L108" s="9"/>
      <c r="M108" s="71" t="e">
        <f>INDEX('CLOIE Pre and Post Crisis Index'!$A:$M,MATCH('08.31.2016'!$O$2,'CLOIE Pre and Post Crisis Index'!$A:$A,0),MATCH('08.31.2016'!L108,'CLOIE Pre and Post Crisis Index'!$1:$1,0))</f>
        <v>#N/A</v>
      </c>
      <c r="N108" s="33">
        <v>750000</v>
      </c>
      <c r="O108" s="77">
        <v>100.9944</v>
      </c>
      <c r="P108" s="77"/>
      <c r="Q108" s="91"/>
      <c r="R108" s="91">
        <f>IF(Q108="Y",P108,O108)</f>
        <v>100.9944</v>
      </c>
      <c r="S108" s="91" t="str">
        <f>IF(Q108="Y",K108,I108)</f>
        <v>JPM Pricing Direct</v>
      </c>
      <c r="T108" s="1">
        <f>IF(Q108="Y",P108*N108/100,O108*N108/100)</f>
        <v>757458</v>
      </c>
      <c r="U108" s="88">
        <f>U107+T108</f>
        <v>19048285</v>
      </c>
      <c r="V108" s="21"/>
      <c r="W108" s="41"/>
      <c r="X108" s="26"/>
      <c r="Y108" s="100"/>
      <c r="Z108" s="95"/>
    </row>
    <row r="109" spans="1:26" s="5" customFormat="1" x14ac:dyDescent="0.25">
      <c r="A109" s="32"/>
      <c r="B109" s="32"/>
      <c r="C109" s="118"/>
      <c r="D109" s="32" t="s">
        <v>13</v>
      </c>
      <c r="E109" s="53" t="e">
        <f ca="1">_xll.BDP(H109,$E$1)</f>
        <v>#NAME?</v>
      </c>
      <c r="F109" s="49" t="e">
        <f ca="1">_xll.BDP(H109,$F$1)</f>
        <v>#NAME?</v>
      </c>
      <c r="G109" s="49" t="e">
        <f ca="1">_xll.BDP(H109,$G$1)</f>
        <v>#NAME?</v>
      </c>
      <c r="H109" s="26" t="str">
        <f t="shared" si="13"/>
        <v xml:space="preserve"> Mtge</v>
      </c>
      <c r="I109" s="32" t="s">
        <v>20</v>
      </c>
      <c r="J109" s="32"/>
      <c r="K109" s="32" t="s">
        <v>49</v>
      </c>
      <c r="L109" s="9"/>
      <c r="M109" s="70">
        <v>0.1</v>
      </c>
      <c r="N109" s="33">
        <v>1550000</v>
      </c>
      <c r="O109" s="82">
        <v>101.36799999999999</v>
      </c>
      <c r="P109" s="82">
        <v>0</v>
      </c>
      <c r="Q109" s="94"/>
      <c r="R109" s="94">
        <f>IF(Q109="Y",P109,O109)</f>
        <v>101.36799999999999</v>
      </c>
      <c r="S109" s="94" t="str">
        <f>IF(Q109="Y",K109,I109)</f>
        <v>JPM Pricing Direct</v>
      </c>
      <c r="T109" s="1">
        <f>IF(Q109="Y",P109*N109/100,O109*N109/100)</f>
        <v>1571204</v>
      </c>
      <c r="U109" s="88">
        <f t="shared" ref="U109" si="15">U108+T109</f>
        <v>20619489</v>
      </c>
      <c r="V109" s="89" t="b">
        <f>U109=T105</f>
        <v>1</v>
      </c>
      <c r="W109" s="41"/>
      <c r="X109" s="26"/>
      <c r="Y109" s="100"/>
      <c r="Z109" s="95"/>
    </row>
    <row r="113" spans="12:27" x14ac:dyDescent="0.25">
      <c r="L113" s="85"/>
      <c r="AA113" s="25"/>
    </row>
    <row r="114" spans="12:27" x14ac:dyDescent="0.25">
      <c r="L114" s="85"/>
      <c r="AA114" s="25"/>
    </row>
    <row r="116" spans="12:27" x14ac:dyDescent="0.25">
      <c r="Q116" s="34"/>
    </row>
  </sheetData>
  <conditionalFormatting sqref="P90:P104 P1:P75 P81:P87">
    <cfRule type="expression" dxfId="22" priority="41">
      <formula>Q1="Y"</formula>
    </cfRule>
  </conditionalFormatting>
  <conditionalFormatting sqref="V1:V65 V81:V104">
    <cfRule type="expression" dxfId="21" priority="40">
      <formula>V1="FALSE"</formula>
    </cfRule>
  </conditionalFormatting>
  <conditionalFormatting sqref="T1:T75 T81:T104 T110:T1048576">
    <cfRule type="expression" dxfId="20" priority="36">
      <formula>Q1="Y"</formula>
    </cfRule>
  </conditionalFormatting>
  <conditionalFormatting sqref="Y1:Y75 Y81:Y104 Y110:Y1048576">
    <cfRule type="expression" dxfId="19" priority="35">
      <formula>Q1="Y"</formula>
    </cfRule>
  </conditionalFormatting>
  <conditionalFormatting sqref="V66:V69">
    <cfRule type="expression" dxfId="18" priority="34">
      <formula>V66="FALSE"</formula>
    </cfRule>
  </conditionalFormatting>
  <conditionalFormatting sqref="V71:V74">
    <cfRule type="expression" dxfId="17" priority="30">
      <formula>V71="FALSE"</formula>
    </cfRule>
  </conditionalFormatting>
  <conditionalFormatting sqref="P106:P108">
    <cfRule type="expression" dxfId="16" priority="26">
      <formula>Q106="Y"</formula>
    </cfRule>
  </conditionalFormatting>
  <conditionalFormatting sqref="T106:T109">
    <cfRule type="expression" dxfId="15" priority="25">
      <formula>Q106="Y"</formula>
    </cfRule>
  </conditionalFormatting>
  <conditionalFormatting sqref="Y106:Y109">
    <cfRule type="expression" dxfId="14" priority="24">
      <formula>Q106="Y"</formula>
    </cfRule>
  </conditionalFormatting>
  <conditionalFormatting sqref="V106:V108">
    <cfRule type="expression" dxfId="13" priority="23">
      <formula>V106="FALSE"</formula>
    </cfRule>
  </conditionalFormatting>
  <conditionalFormatting sqref="P105">
    <cfRule type="expression" dxfId="12" priority="19">
      <formula>Q105="Y"</formula>
    </cfRule>
  </conditionalFormatting>
  <conditionalFormatting sqref="V105">
    <cfRule type="expression" dxfId="11" priority="18">
      <formula>V105="FALSE"</formula>
    </cfRule>
  </conditionalFormatting>
  <conditionalFormatting sqref="T105">
    <cfRule type="expression" dxfId="10" priority="14">
      <formula>Q105="Y"</formula>
    </cfRule>
  </conditionalFormatting>
  <conditionalFormatting sqref="Y105">
    <cfRule type="expression" dxfId="9" priority="13">
      <formula>Q105="Y"</formula>
    </cfRule>
  </conditionalFormatting>
  <conditionalFormatting sqref="P109">
    <cfRule type="expression" dxfId="8" priority="12">
      <formula>Q109="Y"</formula>
    </cfRule>
  </conditionalFormatting>
  <conditionalFormatting sqref="P76:P80">
    <cfRule type="expression" dxfId="7" priority="11">
      <formula>Q76="Y"</formula>
    </cfRule>
  </conditionalFormatting>
  <conditionalFormatting sqref="T76:T80">
    <cfRule type="expression" dxfId="6" priority="10">
      <formula>Q76="Y"</formula>
    </cfRule>
  </conditionalFormatting>
  <conditionalFormatting sqref="Y76:Y80">
    <cfRule type="expression" dxfId="5" priority="9">
      <formula>Q76="Y"</formula>
    </cfRule>
  </conditionalFormatting>
  <conditionalFormatting sqref="V76:V79">
    <cfRule type="expression" dxfId="4" priority="8">
      <formula>V76="FALSE"</formula>
    </cfRule>
  </conditionalFormatting>
  <conditionalFormatting sqref="V70">
    <cfRule type="expression" dxfId="3" priority="4">
      <formula>V70="FALSE"</formula>
    </cfRule>
  </conditionalFormatting>
  <conditionalFormatting sqref="V75">
    <cfRule type="expression" dxfId="2" priority="3">
      <formula>V75="FALSE"</formula>
    </cfRule>
  </conditionalFormatting>
  <conditionalFormatting sqref="V80">
    <cfRule type="expression" dxfId="1" priority="2">
      <formula>V80="FALSE"</formula>
    </cfRule>
  </conditionalFormatting>
  <conditionalFormatting sqref="V109">
    <cfRule type="expression" dxfId="0" priority="1">
      <formula>V109="FALSE"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M252"/>
  <sheetViews>
    <sheetView workbookViewId="0">
      <pane ySplit="1" topLeftCell="A239" activePane="bottomLeft" state="frozen"/>
      <selection activeCell="R129" sqref="R129"/>
      <selection pane="bottomLeft" activeCell="A253" sqref="A253"/>
    </sheetView>
  </sheetViews>
  <sheetFormatPr defaultColWidth="9.140625" defaultRowHeight="15" x14ac:dyDescent="0.25"/>
  <cols>
    <col min="1" max="1" width="10.7109375" style="5" bestFit="1" customWidth="1"/>
    <col min="2" max="13" width="18.7109375" style="5" customWidth="1"/>
    <col min="14" max="16384" width="9.140625" style="5"/>
  </cols>
  <sheetData>
    <row r="1" spans="1:13" s="12" customFormat="1" ht="45" x14ac:dyDescent="0.25">
      <c r="A1" s="68" t="s">
        <v>9</v>
      </c>
      <c r="B1" s="68" t="s">
        <v>22</v>
      </c>
      <c r="C1" s="68" t="s">
        <v>23</v>
      </c>
      <c r="D1" s="68" t="s">
        <v>24</v>
      </c>
      <c r="E1" s="68" t="s">
        <v>25</v>
      </c>
      <c r="F1" s="68" t="s">
        <v>26</v>
      </c>
      <c r="G1" s="68" t="s">
        <v>27</v>
      </c>
      <c r="H1" s="68" t="s">
        <v>10</v>
      </c>
      <c r="I1" s="68" t="s">
        <v>11</v>
      </c>
      <c r="J1" s="68" t="s">
        <v>5</v>
      </c>
      <c r="K1" s="68" t="s">
        <v>6</v>
      </c>
      <c r="L1" s="68" t="s">
        <v>7</v>
      </c>
      <c r="M1" s="68" t="s">
        <v>12</v>
      </c>
    </row>
    <row r="2" spans="1:13" x14ac:dyDescent="0.25">
      <c r="A2" s="69">
        <v>42156</v>
      </c>
      <c r="B2" s="5">
        <v>103.61224</v>
      </c>
      <c r="C2" s="5">
        <v>145.89723000000001</v>
      </c>
      <c r="D2" s="5">
        <v>183.81147000000001</v>
      </c>
      <c r="E2" s="5">
        <v>282.92007999999998</v>
      </c>
      <c r="F2" s="5">
        <v>502.23532</v>
      </c>
      <c r="G2" s="5">
        <v>0</v>
      </c>
      <c r="H2" s="5">
        <v>149.32776999999999</v>
      </c>
      <c r="I2" s="5">
        <v>209.54485</v>
      </c>
      <c r="J2" s="5">
        <v>306.27555000000001</v>
      </c>
      <c r="K2" s="5">
        <v>399.75882999999999</v>
      </c>
      <c r="L2" s="5">
        <v>615.91441999999995</v>
      </c>
      <c r="M2" s="5">
        <v>777.14229999999998</v>
      </c>
    </row>
    <row r="3" spans="1:13" x14ac:dyDescent="0.25">
      <c r="A3" s="69">
        <v>42157</v>
      </c>
      <c r="B3" s="5">
        <v>103.64716</v>
      </c>
      <c r="C3" s="5">
        <v>145.93009000000001</v>
      </c>
      <c r="D3" s="5">
        <v>183.81539000000001</v>
      </c>
      <c r="E3" s="5">
        <v>282.93072000000001</v>
      </c>
      <c r="F3" s="5">
        <v>502.21638999999999</v>
      </c>
      <c r="G3" s="5">
        <v>0</v>
      </c>
      <c r="H3" s="5">
        <v>149.32995</v>
      </c>
      <c r="I3" s="5">
        <v>209.50595999999999</v>
      </c>
      <c r="J3" s="5">
        <v>306.27670999999998</v>
      </c>
      <c r="K3" s="5">
        <v>399.87468999999999</v>
      </c>
      <c r="L3" s="5">
        <v>614.91677000000004</v>
      </c>
      <c r="M3" s="5">
        <v>776.13216999999997</v>
      </c>
    </row>
    <row r="4" spans="1:13" x14ac:dyDescent="0.25">
      <c r="A4" s="69">
        <v>42158</v>
      </c>
      <c r="B4" s="5">
        <v>103.73430999999999</v>
      </c>
      <c r="C4" s="5">
        <v>145.98877999999999</v>
      </c>
      <c r="D4" s="5">
        <v>184.31729000000001</v>
      </c>
      <c r="E4" s="5">
        <v>282.62562000000003</v>
      </c>
      <c r="F4" s="5">
        <v>502.32927999999998</v>
      </c>
      <c r="G4" s="5">
        <v>0</v>
      </c>
      <c r="H4" s="5">
        <v>149.31442000000001</v>
      </c>
      <c r="I4" s="5">
        <v>209.53608</v>
      </c>
      <c r="J4" s="5">
        <v>306.29025000000001</v>
      </c>
      <c r="K4" s="5">
        <v>399.21874000000003</v>
      </c>
      <c r="L4" s="5">
        <v>614.22992999999997</v>
      </c>
      <c r="M4" s="5">
        <v>776.13441</v>
      </c>
    </row>
    <row r="5" spans="1:13" x14ac:dyDescent="0.25">
      <c r="A5" s="69">
        <v>42159</v>
      </c>
      <c r="B5" s="5">
        <v>104.25223</v>
      </c>
      <c r="C5" s="5">
        <v>145.99189000000001</v>
      </c>
      <c r="D5" s="5">
        <v>184.34586999999999</v>
      </c>
      <c r="E5" s="5">
        <v>282.60932000000003</v>
      </c>
      <c r="F5" s="5">
        <v>501.90021000000002</v>
      </c>
      <c r="G5" s="5">
        <v>0</v>
      </c>
      <c r="H5" s="5">
        <v>149.30653000000001</v>
      </c>
      <c r="I5" s="5">
        <v>209.43436</v>
      </c>
      <c r="J5" s="5">
        <v>306.23246</v>
      </c>
      <c r="K5" s="5">
        <v>399.35118</v>
      </c>
      <c r="L5" s="5">
        <v>613.49203999999997</v>
      </c>
      <c r="M5" s="5">
        <v>776.04556000000002</v>
      </c>
    </row>
    <row r="6" spans="1:13" x14ac:dyDescent="0.25">
      <c r="A6" s="69">
        <v>42160</v>
      </c>
      <c r="B6" s="5">
        <v>104.51911</v>
      </c>
      <c r="C6" s="5">
        <v>145.99689000000001</v>
      </c>
      <c r="D6" s="5">
        <v>184.58142000000001</v>
      </c>
      <c r="E6" s="5">
        <v>282.27095000000003</v>
      </c>
      <c r="F6" s="5">
        <v>501.39938999999998</v>
      </c>
      <c r="G6" s="5">
        <v>0</v>
      </c>
      <c r="H6" s="5">
        <v>149.23521</v>
      </c>
      <c r="I6" s="5">
        <v>209.31730999999999</v>
      </c>
      <c r="J6" s="5">
        <v>305.90194000000002</v>
      </c>
      <c r="K6" s="5">
        <v>399.04422</v>
      </c>
      <c r="L6" s="5">
        <v>612.96659</v>
      </c>
      <c r="M6" s="5">
        <v>775.54179999999997</v>
      </c>
    </row>
    <row r="7" spans="1:13" x14ac:dyDescent="0.25">
      <c r="A7" s="69">
        <v>42163</v>
      </c>
      <c r="B7" s="5">
        <v>104.77274</v>
      </c>
      <c r="C7" s="5">
        <v>146.00595999999999</v>
      </c>
      <c r="D7" s="5">
        <v>184.58902</v>
      </c>
      <c r="E7" s="5">
        <v>282.28631000000001</v>
      </c>
      <c r="F7" s="5">
        <v>501.40994999999998</v>
      </c>
      <c r="G7" s="5">
        <v>0</v>
      </c>
      <c r="H7" s="5">
        <v>149.24238</v>
      </c>
      <c r="I7" s="5">
        <v>209.26846</v>
      </c>
      <c r="J7" s="5">
        <v>306.08911999999998</v>
      </c>
      <c r="K7" s="5">
        <v>399.05146999999999</v>
      </c>
      <c r="L7" s="5">
        <v>612.87145999999996</v>
      </c>
      <c r="M7" s="5">
        <v>775.54502000000002</v>
      </c>
    </row>
    <row r="8" spans="1:13" x14ac:dyDescent="0.25">
      <c r="A8" s="69">
        <v>42164</v>
      </c>
      <c r="B8" s="5">
        <v>104.76699000000001</v>
      </c>
      <c r="C8" s="5">
        <v>146.01</v>
      </c>
      <c r="D8" s="5">
        <v>184.57968</v>
      </c>
      <c r="E8" s="5">
        <v>282.31016</v>
      </c>
      <c r="F8" s="5">
        <v>501.74313999999998</v>
      </c>
      <c r="G8" s="5">
        <v>0</v>
      </c>
      <c r="H8" s="5">
        <v>149.24279999999999</v>
      </c>
      <c r="I8" s="5">
        <v>209.27250000000001</v>
      </c>
      <c r="J8" s="5">
        <v>305.90555999999998</v>
      </c>
      <c r="K8" s="5">
        <v>399.04113000000001</v>
      </c>
      <c r="L8" s="5">
        <v>612.67443000000003</v>
      </c>
      <c r="M8" s="5">
        <v>775.57574999999997</v>
      </c>
    </row>
    <row r="9" spans="1:13" x14ac:dyDescent="0.25">
      <c r="A9" s="69">
        <v>42165</v>
      </c>
      <c r="B9" s="5">
        <v>106.0342</v>
      </c>
      <c r="C9" s="5">
        <v>146.08466000000001</v>
      </c>
      <c r="D9" s="5">
        <v>185.02169000000001</v>
      </c>
      <c r="E9" s="5">
        <v>282.286</v>
      </c>
      <c r="F9" s="5">
        <v>501.68821000000003</v>
      </c>
      <c r="G9" s="5">
        <v>0</v>
      </c>
      <c r="H9" s="5">
        <v>149.31047000000001</v>
      </c>
      <c r="I9" s="5">
        <v>209.29268999999999</v>
      </c>
      <c r="J9" s="5">
        <v>305.90219999999999</v>
      </c>
      <c r="K9" s="5">
        <v>399.09857</v>
      </c>
      <c r="L9" s="5">
        <v>612.67750000000001</v>
      </c>
      <c r="M9" s="5">
        <v>775.57254</v>
      </c>
    </row>
    <row r="10" spans="1:13" x14ac:dyDescent="0.25">
      <c r="A10" s="69">
        <v>42166</v>
      </c>
      <c r="B10" s="5">
        <v>106.64989</v>
      </c>
      <c r="C10" s="5">
        <v>146.1267</v>
      </c>
      <c r="D10" s="5">
        <v>185.13625999999999</v>
      </c>
      <c r="E10" s="5">
        <v>281.87790999999999</v>
      </c>
      <c r="F10" s="5">
        <v>501.72197999999997</v>
      </c>
      <c r="G10" s="5">
        <v>0</v>
      </c>
      <c r="H10" s="5">
        <v>149.31281999999999</v>
      </c>
      <c r="I10" s="5">
        <v>209.51231000000001</v>
      </c>
      <c r="J10" s="5">
        <v>305.90249999999997</v>
      </c>
      <c r="K10" s="5">
        <v>399.56383</v>
      </c>
      <c r="L10" s="5">
        <v>613.02941999999996</v>
      </c>
      <c r="M10" s="5">
        <v>775.61977999999999</v>
      </c>
    </row>
    <row r="11" spans="1:13" x14ac:dyDescent="0.25">
      <c r="A11" s="69">
        <v>42167</v>
      </c>
      <c r="B11" s="5">
        <v>123.43492000000001</v>
      </c>
      <c r="C11" s="5">
        <v>146.18576999999999</v>
      </c>
      <c r="D11" s="5">
        <v>185.11614</v>
      </c>
      <c r="E11" s="5">
        <v>281.8759</v>
      </c>
      <c r="F11" s="5">
        <v>501.70616999999999</v>
      </c>
      <c r="G11" s="5">
        <v>0</v>
      </c>
      <c r="H11" s="5">
        <v>149.35619</v>
      </c>
      <c r="I11" s="5">
        <v>209.45848000000001</v>
      </c>
      <c r="J11" s="5">
        <v>305.90595999999999</v>
      </c>
      <c r="K11" s="5">
        <v>399.56738000000001</v>
      </c>
      <c r="L11" s="5">
        <v>613.12532999999996</v>
      </c>
      <c r="M11" s="5">
        <v>775.62603000000001</v>
      </c>
    </row>
    <row r="12" spans="1:13" x14ac:dyDescent="0.25">
      <c r="A12" s="69">
        <v>42170</v>
      </c>
      <c r="B12" s="5">
        <v>122.38788</v>
      </c>
      <c r="C12" s="5">
        <v>150.88160999999999</v>
      </c>
      <c r="D12" s="5">
        <v>189.85776000000001</v>
      </c>
      <c r="E12" s="5">
        <v>282.26312000000001</v>
      </c>
      <c r="F12" s="5">
        <v>500.39373000000001</v>
      </c>
      <c r="G12" s="5">
        <v>0</v>
      </c>
      <c r="H12" s="5">
        <v>152.5498</v>
      </c>
      <c r="I12" s="5">
        <v>209.45957000000001</v>
      </c>
      <c r="J12" s="5">
        <v>305.94580999999999</v>
      </c>
      <c r="K12" s="5">
        <v>407.30552</v>
      </c>
      <c r="L12" s="5">
        <v>615.02860999999996</v>
      </c>
      <c r="M12" s="5">
        <v>782.39471000000003</v>
      </c>
    </row>
    <row r="13" spans="1:13" x14ac:dyDescent="0.25">
      <c r="A13" s="69">
        <v>42171</v>
      </c>
      <c r="B13" s="5">
        <v>122.47839999999999</v>
      </c>
      <c r="C13" s="5">
        <v>150.93120999999999</v>
      </c>
      <c r="D13" s="5">
        <v>190.14859999999999</v>
      </c>
      <c r="E13" s="5">
        <v>282.89987000000002</v>
      </c>
      <c r="F13" s="5">
        <v>500.88538999999997</v>
      </c>
      <c r="G13" s="5">
        <v>0</v>
      </c>
      <c r="H13" s="5">
        <v>152.57025999999999</v>
      </c>
      <c r="I13" s="5">
        <v>209.46601000000001</v>
      </c>
      <c r="J13" s="5">
        <v>305.94695000000002</v>
      </c>
      <c r="K13" s="5">
        <v>407.30234000000002</v>
      </c>
      <c r="L13" s="5">
        <v>615.10559999999998</v>
      </c>
      <c r="M13" s="5">
        <v>782.40291999999999</v>
      </c>
    </row>
    <row r="14" spans="1:13" x14ac:dyDescent="0.25">
      <c r="A14" s="69">
        <v>42172</v>
      </c>
      <c r="B14" s="5">
        <v>122.57641</v>
      </c>
      <c r="C14" s="5">
        <v>150.95778000000001</v>
      </c>
      <c r="D14" s="5">
        <v>190.16979000000001</v>
      </c>
      <c r="E14" s="5">
        <v>282.64361000000002</v>
      </c>
      <c r="F14" s="5">
        <v>500.89900999999998</v>
      </c>
      <c r="G14" s="5">
        <v>0</v>
      </c>
      <c r="H14" s="5">
        <v>152.60643999999999</v>
      </c>
      <c r="I14" s="5">
        <v>209.47959</v>
      </c>
      <c r="J14" s="5">
        <v>305.97548</v>
      </c>
      <c r="K14" s="5">
        <v>407.30419999999998</v>
      </c>
      <c r="L14" s="5">
        <v>615.15365999999995</v>
      </c>
      <c r="M14" s="5">
        <v>782.49778000000003</v>
      </c>
    </row>
    <row r="15" spans="1:13" x14ac:dyDescent="0.25">
      <c r="A15" s="69">
        <v>42173</v>
      </c>
      <c r="B15" s="5">
        <v>122.5248</v>
      </c>
      <c r="C15" s="5">
        <v>150.94767999999999</v>
      </c>
      <c r="D15" s="5">
        <v>190.60156000000001</v>
      </c>
      <c r="E15" s="5">
        <v>283.1028</v>
      </c>
      <c r="F15" s="5">
        <v>500.25128000000001</v>
      </c>
      <c r="G15" s="5">
        <v>0</v>
      </c>
      <c r="H15" s="5">
        <v>152.68912</v>
      </c>
      <c r="I15" s="5">
        <v>209.48427000000001</v>
      </c>
      <c r="J15" s="5">
        <v>305.97311999999999</v>
      </c>
      <c r="K15" s="5">
        <v>407.42254000000003</v>
      </c>
      <c r="L15" s="5">
        <v>615.68667000000005</v>
      </c>
      <c r="M15" s="5">
        <v>782.48622</v>
      </c>
    </row>
    <row r="16" spans="1:13" x14ac:dyDescent="0.25">
      <c r="A16" s="69">
        <v>42174</v>
      </c>
      <c r="B16" s="5">
        <v>122.52705</v>
      </c>
      <c r="C16" s="5">
        <v>150.95783</v>
      </c>
      <c r="D16" s="5">
        <v>190.82441</v>
      </c>
      <c r="E16" s="5">
        <v>283.12441999999999</v>
      </c>
      <c r="F16" s="5">
        <v>499.95362</v>
      </c>
      <c r="G16" s="5">
        <v>0</v>
      </c>
      <c r="H16" s="5">
        <v>152.70103</v>
      </c>
      <c r="I16" s="5">
        <v>209.48701</v>
      </c>
      <c r="J16" s="5">
        <v>305.97788000000003</v>
      </c>
      <c r="K16" s="5">
        <v>407.71289000000002</v>
      </c>
      <c r="L16" s="5">
        <v>615.92435999999998</v>
      </c>
      <c r="M16" s="5">
        <v>782.49099999999999</v>
      </c>
    </row>
    <row r="17" spans="1:13" x14ac:dyDescent="0.25">
      <c r="A17" s="69">
        <v>42177</v>
      </c>
      <c r="B17" s="5">
        <v>122.59707</v>
      </c>
      <c r="C17" s="5">
        <v>151.04915</v>
      </c>
      <c r="D17" s="5">
        <v>190.86828</v>
      </c>
      <c r="E17" s="5">
        <v>283.17133000000001</v>
      </c>
      <c r="F17" s="5">
        <v>500.02751000000001</v>
      </c>
      <c r="G17" s="5">
        <v>0</v>
      </c>
      <c r="H17" s="5">
        <v>152.71815000000001</v>
      </c>
      <c r="I17" s="5">
        <v>209.68673999999999</v>
      </c>
      <c r="J17" s="5">
        <v>305.98093999999998</v>
      </c>
      <c r="K17" s="5">
        <v>407.82247000000001</v>
      </c>
      <c r="L17" s="5">
        <v>615.99104</v>
      </c>
      <c r="M17" s="5">
        <v>782.69377999999995</v>
      </c>
    </row>
    <row r="18" spans="1:13" x14ac:dyDescent="0.25">
      <c r="A18" s="69">
        <v>42178</v>
      </c>
      <c r="B18" s="5">
        <v>122.65586999999999</v>
      </c>
      <c r="C18" s="5">
        <v>151.16810000000001</v>
      </c>
      <c r="D18" s="5">
        <v>190.93115</v>
      </c>
      <c r="E18" s="5">
        <v>283.19229000000001</v>
      </c>
      <c r="F18" s="5">
        <v>499.62389000000002</v>
      </c>
      <c r="G18" s="5">
        <v>0</v>
      </c>
      <c r="H18" s="5">
        <v>152.68635</v>
      </c>
      <c r="I18" s="5">
        <v>209.89036999999999</v>
      </c>
      <c r="J18" s="5">
        <v>305.98088000000001</v>
      </c>
      <c r="K18" s="5">
        <v>408.41133000000002</v>
      </c>
      <c r="L18" s="5">
        <v>616.63212999999996</v>
      </c>
      <c r="M18" s="5">
        <v>783.50865999999996</v>
      </c>
    </row>
    <row r="19" spans="1:13" x14ac:dyDescent="0.25">
      <c r="A19" s="69">
        <v>42179</v>
      </c>
      <c r="B19" s="5">
        <v>124.01699000000001</v>
      </c>
      <c r="C19" s="5">
        <v>151.32241999999999</v>
      </c>
      <c r="D19" s="5">
        <v>191.19233</v>
      </c>
      <c r="E19" s="5">
        <v>283.24403000000001</v>
      </c>
      <c r="F19" s="5">
        <v>499.65192000000002</v>
      </c>
      <c r="G19" s="5">
        <v>0</v>
      </c>
      <c r="H19" s="5">
        <v>152.70124999999999</v>
      </c>
      <c r="I19" s="5">
        <v>210.02512999999999</v>
      </c>
      <c r="J19" s="5">
        <v>306.02051999999998</v>
      </c>
      <c r="K19" s="5">
        <v>408.41973999999999</v>
      </c>
      <c r="L19" s="5">
        <v>616.64759000000004</v>
      </c>
      <c r="M19" s="5">
        <v>783.51750000000004</v>
      </c>
    </row>
    <row r="20" spans="1:13" x14ac:dyDescent="0.25">
      <c r="A20" s="69">
        <v>42180</v>
      </c>
      <c r="B20" s="5">
        <v>123.92039</v>
      </c>
      <c r="C20" s="5">
        <v>152.14747</v>
      </c>
      <c r="D20" s="5">
        <v>200.67464000000001</v>
      </c>
      <c r="E20" s="5">
        <v>288.02735000000001</v>
      </c>
      <c r="F20" s="5">
        <v>504.20222000000001</v>
      </c>
      <c r="G20" s="5">
        <v>0</v>
      </c>
      <c r="H20" s="5">
        <v>152.82058000000001</v>
      </c>
      <c r="I20" s="5">
        <v>212.55649</v>
      </c>
      <c r="J20" s="5">
        <v>306.86795000000001</v>
      </c>
      <c r="K20" s="5">
        <v>415.32979</v>
      </c>
      <c r="L20" s="5">
        <v>625.20464000000004</v>
      </c>
      <c r="M20" s="5">
        <v>792.50604999999996</v>
      </c>
    </row>
    <row r="21" spans="1:13" x14ac:dyDescent="0.25">
      <c r="A21" s="69">
        <v>42181</v>
      </c>
      <c r="B21" s="5">
        <v>123.63117</v>
      </c>
      <c r="C21" s="5">
        <v>152.23023000000001</v>
      </c>
      <c r="D21" s="5">
        <v>200.77024</v>
      </c>
      <c r="E21" s="5">
        <v>287.99664999999999</v>
      </c>
      <c r="F21" s="5">
        <v>504.36809</v>
      </c>
      <c r="G21" s="5">
        <v>0</v>
      </c>
      <c r="H21" s="5">
        <v>152.81356</v>
      </c>
      <c r="I21" s="5">
        <v>212.55954</v>
      </c>
      <c r="J21" s="5">
        <v>306.75574</v>
      </c>
      <c r="K21" s="5">
        <v>415.12596000000002</v>
      </c>
      <c r="L21" s="5">
        <v>625.30147999999997</v>
      </c>
      <c r="M21" s="5">
        <v>793.07342000000006</v>
      </c>
    </row>
    <row r="22" spans="1:13" x14ac:dyDescent="0.25">
      <c r="A22" s="69">
        <v>42184</v>
      </c>
      <c r="B22" s="5">
        <v>127.11432000000001</v>
      </c>
      <c r="C22" s="5">
        <v>156.17657</v>
      </c>
      <c r="D22" s="5">
        <v>206.80203</v>
      </c>
      <c r="E22" s="5">
        <v>294.07994000000002</v>
      </c>
      <c r="F22" s="5">
        <v>512.51738999999998</v>
      </c>
      <c r="G22" s="5">
        <v>0</v>
      </c>
      <c r="H22" s="5">
        <v>154.27377000000001</v>
      </c>
      <c r="I22" s="5">
        <v>216.95582999999999</v>
      </c>
      <c r="J22" s="5">
        <v>312.94029</v>
      </c>
      <c r="K22" s="5">
        <v>421.48340999999999</v>
      </c>
      <c r="L22" s="5">
        <v>633.88241000000005</v>
      </c>
      <c r="M22" s="5">
        <v>802.88959999999997</v>
      </c>
    </row>
    <row r="23" spans="1:13" x14ac:dyDescent="0.25">
      <c r="A23" s="69">
        <v>42185</v>
      </c>
      <c r="B23" s="5">
        <v>129.15161000000001</v>
      </c>
      <c r="C23" s="5">
        <v>156.34494000000001</v>
      </c>
      <c r="D23" s="5">
        <v>207.10012</v>
      </c>
      <c r="E23" s="5">
        <v>294.10237999999998</v>
      </c>
      <c r="F23" s="5">
        <v>512.45755999999994</v>
      </c>
      <c r="G23" s="5">
        <v>0</v>
      </c>
      <c r="H23" s="5">
        <v>154.50425999999999</v>
      </c>
      <c r="I23" s="5">
        <v>217.38865000000001</v>
      </c>
      <c r="J23" s="5">
        <v>313.26582999999999</v>
      </c>
      <c r="K23" s="5">
        <v>432.93606999999997</v>
      </c>
      <c r="L23" s="5">
        <v>645.64044999999999</v>
      </c>
      <c r="M23" s="5">
        <v>824.15499</v>
      </c>
    </row>
    <row r="24" spans="1:13" x14ac:dyDescent="0.25">
      <c r="A24" s="69">
        <v>42186</v>
      </c>
      <c r="B24" s="5">
        <v>129.05759</v>
      </c>
      <c r="C24" s="5">
        <v>156.49014</v>
      </c>
      <c r="D24" s="5">
        <v>207.50613999999999</v>
      </c>
      <c r="E24" s="5">
        <v>294.51391000000001</v>
      </c>
      <c r="F24" s="5">
        <v>512.32182999999998</v>
      </c>
      <c r="G24" s="5">
        <v>0</v>
      </c>
      <c r="H24" s="5">
        <v>154.45004</v>
      </c>
      <c r="I24" s="5">
        <v>217.35518999999999</v>
      </c>
      <c r="J24" s="5">
        <v>313.24646000000001</v>
      </c>
      <c r="K24" s="5">
        <v>432.91529000000003</v>
      </c>
      <c r="L24" s="5">
        <v>645.56412999999998</v>
      </c>
      <c r="M24" s="5">
        <v>824.21420000000001</v>
      </c>
    </row>
    <row r="25" spans="1:13" x14ac:dyDescent="0.25">
      <c r="A25" s="69">
        <v>42187</v>
      </c>
      <c r="B25" s="5">
        <v>129.81689</v>
      </c>
      <c r="C25" s="5">
        <v>157.48768999999999</v>
      </c>
      <c r="D25" s="5">
        <v>208.19040000000001</v>
      </c>
      <c r="E25" s="5">
        <v>294.47487999999998</v>
      </c>
      <c r="F25" s="5">
        <v>512.36598000000004</v>
      </c>
      <c r="G25" s="5">
        <v>0</v>
      </c>
      <c r="H25" s="5">
        <v>154.44708</v>
      </c>
      <c r="I25" s="5">
        <v>217.35407000000001</v>
      </c>
      <c r="J25" s="5">
        <v>313.24016999999998</v>
      </c>
      <c r="K25" s="5">
        <v>432.54593999999997</v>
      </c>
      <c r="L25" s="5">
        <v>645.50912000000005</v>
      </c>
      <c r="M25" s="5">
        <v>824.21684000000005</v>
      </c>
    </row>
    <row r="26" spans="1:13" x14ac:dyDescent="0.25">
      <c r="A26" s="69">
        <v>42191</v>
      </c>
      <c r="B26" s="5">
        <v>129.76325</v>
      </c>
      <c r="C26" s="5">
        <v>157.50536</v>
      </c>
      <c r="D26" s="5">
        <v>208.20957000000001</v>
      </c>
      <c r="E26" s="5">
        <v>294.16165999999998</v>
      </c>
      <c r="F26" s="5">
        <v>512.37676999999996</v>
      </c>
      <c r="G26" s="5">
        <v>0</v>
      </c>
      <c r="H26" s="5">
        <v>154.40466000000001</v>
      </c>
      <c r="I26" s="5">
        <v>217.35225</v>
      </c>
      <c r="J26" s="5">
        <v>313.23705999999999</v>
      </c>
      <c r="K26" s="5">
        <v>431.85541000000001</v>
      </c>
      <c r="L26" s="5">
        <v>644.94133999999997</v>
      </c>
      <c r="M26" s="5">
        <v>824.22181999999998</v>
      </c>
    </row>
    <row r="27" spans="1:13" x14ac:dyDescent="0.25">
      <c r="A27" s="69">
        <v>42192</v>
      </c>
      <c r="B27" s="5">
        <v>129.66293999999999</v>
      </c>
      <c r="C27" s="5">
        <v>157.67198999999999</v>
      </c>
      <c r="D27" s="5">
        <v>208.22046</v>
      </c>
      <c r="E27" s="5">
        <v>294.17250000000001</v>
      </c>
      <c r="F27" s="5">
        <v>512.47329999999999</v>
      </c>
      <c r="G27" s="5">
        <v>0</v>
      </c>
      <c r="H27" s="5">
        <v>154.39041</v>
      </c>
      <c r="I27" s="5">
        <v>217.39067</v>
      </c>
      <c r="J27" s="5">
        <v>313.23038000000003</v>
      </c>
      <c r="K27" s="5">
        <v>431.60709000000003</v>
      </c>
      <c r="L27" s="5">
        <v>645.19047999999998</v>
      </c>
      <c r="M27" s="5">
        <v>824.45129999999995</v>
      </c>
    </row>
    <row r="28" spans="1:13" x14ac:dyDescent="0.25">
      <c r="A28" s="69">
        <v>42193</v>
      </c>
      <c r="B28" s="5">
        <v>129.76684</v>
      </c>
      <c r="C28" s="5">
        <v>157.79773</v>
      </c>
      <c r="D28" s="5">
        <v>208.24839</v>
      </c>
      <c r="E28" s="5">
        <v>294.20155999999997</v>
      </c>
      <c r="F28" s="5">
        <v>511.81346000000002</v>
      </c>
      <c r="G28" s="5">
        <v>0</v>
      </c>
      <c r="H28" s="5">
        <v>154.40029999999999</v>
      </c>
      <c r="I28" s="5">
        <v>217.4633</v>
      </c>
      <c r="J28" s="5">
        <v>313.21931999999998</v>
      </c>
      <c r="K28" s="5">
        <v>431.59546999999998</v>
      </c>
      <c r="L28" s="5">
        <v>645.10793999999999</v>
      </c>
      <c r="M28" s="5">
        <v>824.46357</v>
      </c>
    </row>
    <row r="29" spans="1:13" x14ac:dyDescent="0.25">
      <c r="A29" s="69">
        <v>42194</v>
      </c>
      <c r="B29" s="5">
        <v>129.79298</v>
      </c>
      <c r="C29" s="5">
        <v>158.26312999999999</v>
      </c>
      <c r="D29" s="5">
        <v>208.25729000000001</v>
      </c>
      <c r="E29" s="5">
        <v>293.65555000000001</v>
      </c>
      <c r="F29" s="5">
        <v>511.81682000000001</v>
      </c>
      <c r="G29" s="5">
        <v>0</v>
      </c>
      <c r="H29" s="5">
        <v>154.35988</v>
      </c>
      <c r="I29" s="5">
        <v>217.45534000000001</v>
      </c>
      <c r="J29" s="5">
        <v>313.21998000000002</v>
      </c>
      <c r="K29" s="5">
        <v>431.57134000000002</v>
      </c>
      <c r="L29" s="5">
        <v>645.09482000000003</v>
      </c>
      <c r="M29" s="5">
        <v>824.44438000000002</v>
      </c>
    </row>
    <row r="30" spans="1:13" x14ac:dyDescent="0.25">
      <c r="A30" s="69">
        <v>42195</v>
      </c>
      <c r="B30" s="5">
        <v>129.63909000000001</v>
      </c>
      <c r="C30" s="5">
        <v>158.32697999999999</v>
      </c>
      <c r="D30" s="5">
        <v>207.99394000000001</v>
      </c>
      <c r="E30" s="5">
        <v>293.65877999999998</v>
      </c>
      <c r="F30" s="5">
        <v>511.94141999999999</v>
      </c>
      <c r="G30" s="5">
        <v>0</v>
      </c>
      <c r="H30" s="5">
        <v>154.35409000000001</v>
      </c>
      <c r="I30" s="5">
        <v>217.45366999999999</v>
      </c>
      <c r="J30" s="5">
        <v>313.21534000000003</v>
      </c>
      <c r="K30" s="5">
        <v>431.57062999999999</v>
      </c>
      <c r="L30" s="5">
        <v>645.27197999999999</v>
      </c>
      <c r="M30" s="5">
        <v>824.45426999999995</v>
      </c>
    </row>
    <row r="31" spans="1:13" x14ac:dyDescent="0.25">
      <c r="A31" s="69">
        <v>42198</v>
      </c>
      <c r="B31" s="5">
        <v>129.43038000000001</v>
      </c>
      <c r="C31" s="5">
        <v>158.32996</v>
      </c>
      <c r="D31" s="5">
        <v>208.01418000000001</v>
      </c>
      <c r="E31" s="5">
        <v>293.67586999999997</v>
      </c>
      <c r="F31" s="5">
        <v>511.84906000000001</v>
      </c>
      <c r="G31" s="5">
        <v>0</v>
      </c>
      <c r="H31" s="5">
        <v>154.39613</v>
      </c>
      <c r="I31" s="5">
        <v>217.48525000000001</v>
      </c>
      <c r="J31" s="5">
        <v>313.21746000000002</v>
      </c>
      <c r="K31" s="5">
        <v>431.57272999999998</v>
      </c>
      <c r="L31" s="5">
        <v>644.89684999999997</v>
      </c>
      <c r="M31" s="5">
        <v>824.46347000000003</v>
      </c>
    </row>
    <row r="32" spans="1:13" x14ac:dyDescent="0.25">
      <c r="A32" s="69">
        <v>42199</v>
      </c>
      <c r="B32" s="5">
        <v>129.39824999999999</v>
      </c>
      <c r="C32" s="5">
        <v>158.32977</v>
      </c>
      <c r="D32" s="5">
        <v>207.99510000000001</v>
      </c>
      <c r="E32" s="5">
        <v>293.66575999999998</v>
      </c>
      <c r="F32" s="5">
        <v>509.19321000000002</v>
      </c>
      <c r="G32" s="5">
        <v>0</v>
      </c>
      <c r="H32" s="5">
        <v>154.39741000000001</v>
      </c>
      <c r="I32" s="5">
        <v>217.48958999999999</v>
      </c>
      <c r="J32" s="5">
        <v>313.22320000000002</v>
      </c>
      <c r="K32" s="5">
        <v>431.50576000000001</v>
      </c>
      <c r="L32" s="5">
        <v>645.19649000000004</v>
      </c>
      <c r="M32" s="5">
        <v>823.93059000000005</v>
      </c>
    </row>
    <row r="33" spans="1:13" x14ac:dyDescent="0.25">
      <c r="A33" s="69">
        <v>42200</v>
      </c>
      <c r="B33" s="5">
        <v>129.20731000000001</v>
      </c>
      <c r="C33" s="5">
        <v>158.37591</v>
      </c>
      <c r="D33" s="5">
        <v>208.05492000000001</v>
      </c>
      <c r="E33" s="5">
        <v>293.67507999999998</v>
      </c>
      <c r="F33" s="5">
        <v>509.13153</v>
      </c>
      <c r="G33" s="5">
        <v>0</v>
      </c>
      <c r="H33" s="5">
        <v>154.39744999999999</v>
      </c>
      <c r="I33" s="5">
        <v>217.48889</v>
      </c>
      <c r="J33" s="5">
        <v>313.21573999999998</v>
      </c>
      <c r="K33" s="5">
        <v>431.51319999999998</v>
      </c>
      <c r="L33" s="5">
        <v>645.26251999999999</v>
      </c>
      <c r="M33" s="5">
        <v>823.94465000000002</v>
      </c>
    </row>
    <row r="34" spans="1:13" x14ac:dyDescent="0.25">
      <c r="A34" s="69">
        <v>42201</v>
      </c>
      <c r="B34" s="5">
        <v>128.89449999999999</v>
      </c>
      <c r="C34" s="5">
        <v>158.82526999999999</v>
      </c>
      <c r="D34" s="5">
        <v>208.08197999999999</v>
      </c>
      <c r="E34" s="5">
        <v>294.00758000000002</v>
      </c>
      <c r="F34" s="5">
        <v>509.10003</v>
      </c>
      <c r="G34" s="5">
        <v>0</v>
      </c>
      <c r="H34" s="5">
        <v>154.39858000000001</v>
      </c>
      <c r="I34" s="5">
        <v>217.54834</v>
      </c>
      <c r="J34" s="5">
        <v>313.22044</v>
      </c>
      <c r="K34" s="5">
        <v>431.51537000000002</v>
      </c>
      <c r="L34" s="5">
        <v>645.26172999999994</v>
      </c>
      <c r="M34" s="5">
        <v>823.94092000000001</v>
      </c>
    </row>
    <row r="35" spans="1:13" x14ac:dyDescent="0.25">
      <c r="A35" s="69">
        <v>42202</v>
      </c>
      <c r="B35" s="5">
        <v>129.19220000000001</v>
      </c>
      <c r="C35" s="5">
        <v>158.85103000000001</v>
      </c>
      <c r="D35" s="5">
        <v>208.13865999999999</v>
      </c>
      <c r="E35" s="5">
        <v>294.01936000000001</v>
      </c>
      <c r="F35" s="5">
        <v>509.18423999999999</v>
      </c>
      <c r="G35" s="5">
        <v>0</v>
      </c>
      <c r="H35" s="5">
        <v>154.31348</v>
      </c>
      <c r="I35" s="5">
        <v>217.54988</v>
      </c>
      <c r="J35" s="5">
        <v>313.21915999999999</v>
      </c>
      <c r="K35" s="5">
        <v>431.51627000000002</v>
      </c>
      <c r="L35" s="5">
        <v>645.25851999999998</v>
      </c>
      <c r="M35" s="5">
        <v>823.93790999999999</v>
      </c>
    </row>
    <row r="36" spans="1:13" x14ac:dyDescent="0.25">
      <c r="A36" s="69">
        <v>42205</v>
      </c>
      <c r="B36" s="5">
        <v>129.22470999999999</v>
      </c>
      <c r="C36" s="5">
        <v>158.9025</v>
      </c>
      <c r="D36" s="5">
        <v>208.20192</v>
      </c>
      <c r="E36" s="5">
        <v>294.16469000000001</v>
      </c>
      <c r="F36" s="5">
        <v>509.26105000000001</v>
      </c>
      <c r="G36" s="5">
        <v>0</v>
      </c>
      <c r="H36" s="5">
        <v>154.28336999999999</v>
      </c>
      <c r="I36" s="5">
        <v>217.55583999999999</v>
      </c>
      <c r="J36" s="5">
        <v>313.22525000000002</v>
      </c>
      <c r="K36" s="5">
        <v>431.51967000000002</v>
      </c>
      <c r="L36" s="5">
        <v>645.16612999999995</v>
      </c>
      <c r="M36" s="5">
        <v>823.91769999999997</v>
      </c>
    </row>
    <row r="37" spans="1:13" x14ac:dyDescent="0.25">
      <c r="A37" s="69">
        <v>42206</v>
      </c>
      <c r="B37" s="5">
        <v>129.47454999999999</v>
      </c>
      <c r="C37" s="5">
        <v>159.16200000000001</v>
      </c>
      <c r="D37" s="5">
        <v>208.26727</v>
      </c>
      <c r="E37" s="5">
        <v>294.20022999999998</v>
      </c>
      <c r="F37" s="5">
        <v>509.31338</v>
      </c>
      <c r="G37" s="5">
        <v>0</v>
      </c>
      <c r="H37" s="5">
        <v>154.28654</v>
      </c>
      <c r="I37" s="5">
        <v>217.56125</v>
      </c>
      <c r="J37" s="5">
        <v>313.22703000000001</v>
      </c>
      <c r="K37" s="5">
        <v>431.51825000000002</v>
      </c>
      <c r="L37" s="5">
        <v>645.16231000000005</v>
      </c>
      <c r="M37" s="5">
        <v>823.85577000000001</v>
      </c>
    </row>
    <row r="38" spans="1:13" x14ac:dyDescent="0.25">
      <c r="A38" s="69">
        <v>42207</v>
      </c>
      <c r="B38" s="5">
        <v>129.27737999999999</v>
      </c>
      <c r="C38" s="5">
        <v>159.05649</v>
      </c>
      <c r="D38" s="5">
        <v>208.19684000000001</v>
      </c>
      <c r="E38" s="5">
        <v>294.38803999999999</v>
      </c>
      <c r="F38" s="5">
        <v>509.58877000000001</v>
      </c>
      <c r="G38" s="5">
        <v>0</v>
      </c>
      <c r="H38" s="5">
        <v>154.29288</v>
      </c>
      <c r="I38" s="5">
        <v>217.78617</v>
      </c>
      <c r="J38" s="5">
        <v>313.28154000000001</v>
      </c>
      <c r="K38" s="5">
        <v>431.47730999999999</v>
      </c>
      <c r="L38" s="5">
        <v>645.12711000000002</v>
      </c>
      <c r="M38" s="5">
        <v>823.84712000000002</v>
      </c>
    </row>
    <row r="39" spans="1:13" x14ac:dyDescent="0.25">
      <c r="A39" s="69">
        <v>42208</v>
      </c>
      <c r="B39" s="5">
        <v>129.40786</v>
      </c>
      <c r="C39" s="5">
        <v>159.08331999999999</v>
      </c>
      <c r="D39" s="5">
        <v>208.25286</v>
      </c>
      <c r="E39" s="5">
        <v>294.38886000000002</v>
      </c>
      <c r="F39" s="5">
        <v>509.50214</v>
      </c>
      <c r="G39" s="5">
        <v>0</v>
      </c>
      <c r="H39" s="5">
        <v>154.33565999999999</v>
      </c>
      <c r="I39" s="5">
        <v>217.78434999999999</v>
      </c>
      <c r="J39" s="5">
        <v>313.25920000000002</v>
      </c>
      <c r="K39" s="5">
        <v>431.47712000000001</v>
      </c>
      <c r="L39" s="5">
        <v>645.38337000000001</v>
      </c>
      <c r="M39" s="5">
        <v>824.47343999999998</v>
      </c>
    </row>
    <row r="40" spans="1:13" x14ac:dyDescent="0.25">
      <c r="A40" s="69">
        <v>42209</v>
      </c>
      <c r="B40" s="5">
        <v>129.67744999999999</v>
      </c>
      <c r="C40" s="5">
        <v>159.09690000000001</v>
      </c>
      <c r="D40" s="5">
        <v>208.2747</v>
      </c>
      <c r="E40" s="5">
        <v>294.24732999999998</v>
      </c>
      <c r="F40" s="5">
        <v>509.46514999999999</v>
      </c>
      <c r="G40" s="5">
        <v>0</v>
      </c>
      <c r="H40" s="5">
        <v>154.37109000000001</v>
      </c>
      <c r="I40" s="5">
        <v>217.76361</v>
      </c>
      <c r="J40" s="5">
        <v>313.27999</v>
      </c>
      <c r="K40" s="5">
        <v>431.48566</v>
      </c>
      <c r="L40" s="5">
        <v>645.57190000000003</v>
      </c>
      <c r="M40" s="5">
        <v>824.46105999999997</v>
      </c>
    </row>
    <row r="41" spans="1:13" x14ac:dyDescent="0.25">
      <c r="A41" s="69">
        <v>42212</v>
      </c>
      <c r="B41" s="5">
        <v>129.97811999999999</v>
      </c>
      <c r="C41" s="5">
        <v>159.13624999999999</v>
      </c>
      <c r="D41" s="5">
        <v>208.08877000000001</v>
      </c>
      <c r="E41" s="5">
        <v>293.82051999999999</v>
      </c>
      <c r="F41" s="5">
        <v>509.43867</v>
      </c>
      <c r="G41" s="5">
        <v>0</v>
      </c>
      <c r="H41" s="5">
        <v>156.89887999999999</v>
      </c>
      <c r="I41" s="5">
        <v>226.60078999999999</v>
      </c>
      <c r="J41" s="5">
        <v>321.92338000000001</v>
      </c>
      <c r="K41" s="5">
        <v>431.60068000000001</v>
      </c>
      <c r="L41" s="5">
        <v>661.25076000000001</v>
      </c>
      <c r="M41" s="5">
        <v>843.19137999999998</v>
      </c>
    </row>
    <row r="42" spans="1:13" x14ac:dyDescent="0.25">
      <c r="A42" s="69">
        <v>42213</v>
      </c>
      <c r="B42" s="5">
        <v>130.34366</v>
      </c>
      <c r="C42" s="5">
        <v>159.29097999999999</v>
      </c>
      <c r="D42" s="5">
        <v>208.07577000000001</v>
      </c>
      <c r="E42" s="5">
        <v>293.88121999999998</v>
      </c>
      <c r="F42" s="5">
        <v>509.38144</v>
      </c>
      <c r="G42" s="5">
        <v>0</v>
      </c>
      <c r="H42" s="5">
        <v>156.79041000000001</v>
      </c>
      <c r="I42" s="5">
        <v>226.60048</v>
      </c>
      <c r="J42" s="5">
        <v>321.89017000000001</v>
      </c>
      <c r="K42" s="5">
        <v>431.46609999999998</v>
      </c>
      <c r="L42" s="5">
        <v>661.43718999999999</v>
      </c>
      <c r="M42" s="5">
        <v>843.15805</v>
      </c>
    </row>
    <row r="43" spans="1:13" x14ac:dyDescent="0.25">
      <c r="A43" s="69">
        <v>42214</v>
      </c>
      <c r="B43" s="5">
        <v>130.80528000000001</v>
      </c>
      <c r="C43" s="5">
        <v>159.22040999999999</v>
      </c>
      <c r="D43" s="5">
        <v>208.06034</v>
      </c>
      <c r="E43" s="5">
        <v>293.98347000000001</v>
      </c>
      <c r="F43" s="5">
        <v>509.54604999999998</v>
      </c>
      <c r="G43" s="5">
        <v>0</v>
      </c>
      <c r="H43" s="5">
        <v>156.81883999999999</v>
      </c>
      <c r="I43" s="5">
        <v>226.60731999999999</v>
      </c>
      <c r="J43" s="5">
        <v>321.89868000000001</v>
      </c>
      <c r="K43" s="5">
        <v>431.38808999999998</v>
      </c>
      <c r="L43" s="5">
        <v>663.84384999999997</v>
      </c>
      <c r="M43" s="5">
        <v>856.64349000000004</v>
      </c>
    </row>
    <row r="44" spans="1:13" x14ac:dyDescent="0.25">
      <c r="A44" s="69">
        <v>42215</v>
      </c>
      <c r="B44" s="5">
        <v>130.81525999999999</v>
      </c>
      <c r="C44" s="5">
        <v>159.31769</v>
      </c>
      <c r="D44" s="5">
        <v>208.04691</v>
      </c>
      <c r="E44" s="5">
        <v>293.15429999999998</v>
      </c>
      <c r="F44" s="5">
        <v>511.75047999999998</v>
      </c>
      <c r="G44" s="5">
        <v>0</v>
      </c>
      <c r="H44" s="5">
        <v>156.81178</v>
      </c>
      <c r="I44" s="5">
        <v>226.62822</v>
      </c>
      <c r="J44" s="5">
        <v>321.93700000000001</v>
      </c>
      <c r="K44" s="5">
        <v>431.03672999999998</v>
      </c>
      <c r="L44" s="5">
        <v>663.85969999999998</v>
      </c>
      <c r="M44" s="5">
        <v>856.65233999999998</v>
      </c>
    </row>
    <row r="45" spans="1:13" x14ac:dyDescent="0.25">
      <c r="A45" s="69">
        <v>42216</v>
      </c>
      <c r="B45" s="5">
        <v>130.90081000000001</v>
      </c>
      <c r="C45" s="5">
        <v>159.36008000000001</v>
      </c>
      <c r="D45" s="5">
        <v>208.08778000000001</v>
      </c>
      <c r="E45" s="5">
        <v>292.40908999999999</v>
      </c>
      <c r="F45" s="5">
        <v>509.37209000000001</v>
      </c>
      <c r="G45" s="5">
        <v>0</v>
      </c>
      <c r="H45" s="5">
        <v>156.15541999999999</v>
      </c>
      <c r="I45" s="5">
        <v>225.42866000000001</v>
      </c>
      <c r="J45" s="5">
        <v>319.63774000000001</v>
      </c>
      <c r="K45" s="5">
        <v>429.50162</v>
      </c>
      <c r="L45" s="5">
        <v>662.80136000000005</v>
      </c>
      <c r="M45" s="5">
        <v>854.09551999999996</v>
      </c>
    </row>
    <row r="46" spans="1:13" x14ac:dyDescent="0.25">
      <c r="A46" s="69">
        <v>42219</v>
      </c>
      <c r="B46" s="5">
        <v>131.10317000000001</v>
      </c>
      <c r="C46" s="5">
        <v>159.26561000000001</v>
      </c>
      <c r="D46" s="5">
        <v>208.10234</v>
      </c>
      <c r="E46" s="5">
        <v>292.27967999999998</v>
      </c>
      <c r="F46" s="5">
        <v>509.38612999999998</v>
      </c>
      <c r="G46" s="5">
        <v>0</v>
      </c>
      <c r="H46" s="5">
        <v>156.16488000000001</v>
      </c>
      <c r="I46" s="5">
        <v>225.42948999999999</v>
      </c>
      <c r="J46" s="5">
        <v>319.63767000000001</v>
      </c>
      <c r="K46" s="5">
        <v>429.46350999999999</v>
      </c>
      <c r="L46" s="5">
        <v>662.6925</v>
      </c>
      <c r="M46" s="5">
        <v>854.09518000000003</v>
      </c>
    </row>
    <row r="47" spans="1:13" x14ac:dyDescent="0.25">
      <c r="A47" s="69">
        <v>42220</v>
      </c>
      <c r="B47" s="5">
        <v>131.13146</v>
      </c>
      <c r="C47" s="5">
        <v>159.22288</v>
      </c>
      <c r="D47" s="5">
        <v>208.17102</v>
      </c>
      <c r="E47" s="5">
        <v>292.59111999999999</v>
      </c>
      <c r="F47" s="5">
        <v>509.36464999999998</v>
      </c>
      <c r="G47" s="5">
        <v>0</v>
      </c>
      <c r="H47" s="5">
        <v>156.15388999999999</v>
      </c>
      <c r="I47" s="5">
        <v>225.42750000000001</v>
      </c>
      <c r="J47" s="5">
        <v>319.63844</v>
      </c>
      <c r="K47" s="5">
        <v>429.25738000000001</v>
      </c>
      <c r="L47" s="5">
        <v>662.38692000000003</v>
      </c>
      <c r="M47" s="5">
        <v>854.05908999999997</v>
      </c>
    </row>
    <row r="48" spans="1:13" x14ac:dyDescent="0.25">
      <c r="A48" s="69">
        <v>42221</v>
      </c>
      <c r="B48" s="5">
        <v>131.14048</v>
      </c>
      <c r="C48" s="5">
        <v>159.19497999999999</v>
      </c>
      <c r="D48" s="5">
        <v>208.22595999999999</v>
      </c>
      <c r="E48" s="5">
        <v>292.51524000000001</v>
      </c>
      <c r="F48" s="5">
        <v>509.37207999999998</v>
      </c>
      <c r="G48" s="5">
        <v>0</v>
      </c>
      <c r="H48" s="5">
        <v>156.15201999999999</v>
      </c>
      <c r="I48" s="5">
        <v>225.42561000000001</v>
      </c>
      <c r="J48" s="5">
        <v>319.62303000000003</v>
      </c>
      <c r="K48" s="5">
        <v>429.26357999999999</v>
      </c>
      <c r="L48" s="5">
        <v>661.60938999999996</v>
      </c>
      <c r="M48" s="5">
        <v>854.05956000000003</v>
      </c>
    </row>
    <row r="49" spans="1:13" x14ac:dyDescent="0.25">
      <c r="A49" s="69">
        <v>42222</v>
      </c>
      <c r="B49" s="5">
        <v>131.19102000000001</v>
      </c>
      <c r="C49" s="5">
        <v>159.29911999999999</v>
      </c>
      <c r="D49" s="5">
        <v>208.44806</v>
      </c>
      <c r="E49" s="5">
        <v>292.52981</v>
      </c>
      <c r="F49" s="5">
        <v>509.38173</v>
      </c>
      <c r="G49" s="5">
        <v>0</v>
      </c>
      <c r="H49" s="5">
        <v>156.14465000000001</v>
      </c>
      <c r="I49" s="5">
        <v>225.42547999999999</v>
      </c>
      <c r="J49" s="5">
        <v>319.62443999999999</v>
      </c>
      <c r="K49" s="5">
        <v>429.48432000000003</v>
      </c>
      <c r="L49" s="5">
        <v>661.60650999999996</v>
      </c>
      <c r="M49" s="5">
        <v>854.90602000000001</v>
      </c>
    </row>
    <row r="50" spans="1:13" x14ac:dyDescent="0.25">
      <c r="A50" s="69">
        <v>42223</v>
      </c>
      <c r="B50" s="5">
        <v>131.20641000000001</v>
      </c>
      <c r="C50" s="5">
        <v>159.30422999999999</v>
      </c>
      <c r="D50" s="5">
        <v>208.45922999999999</v>
      </c>
      <c r="E50" s="5">
        <v>292.53541000000001</v>
      </c>
      <c r="F50" s="5">
        <v>509.39742000000001</v>
      </c>
      <c r="G50" s="5">
        <v>0</v>
      </c>
      <c r="H50" s="5">
        <v>156.1377</v>
      </c>
      <c r="I50" s="5">
        <v>225.46284</v>
      </c>
      <c r="J50" s="5">
        <v>319.63006000000001</v>
      </c>
      <c r="K50" s="5">
        <v>429.53469000000001</v>
      </c>
      <c r="L50" s="5">
        <v>661.68038000000001</v>
      </c>
      <c r="M50" s="5">
        <v>854.98514999999998</v>
      </c>
    </row>
    <row r="51" spans="1:13" x14ac:dyDescent="0.25">
      <c r="A51" s="69">
        <v>42226</v>
      </c>
      <c r="B51" s="5">
        <v>128.64474000000001</v>
      </c>
      <c r="C51" s="5">
        <v>157.74224000000001</v>
      </c>
      <c r="D51" s="5">
        <v>208.52681000000001</v>
      </c>
      <c r="E51" s="5">
        <v>292.57562999999999</v>
      </c>
      <c r="F51" s="5">
        <v>509.48065000000003</v>
      </c>
      <c r="G51" s="5">
        <v>0</v>
      </c>
      <c r="H51" s="5">
        <v>156.12598</v>
      </c>
      <c r="I51" s="5">
        <v>225.46322000000001</v>
      </c>
      <c r="J51" s="5">
        <v>319.63164999999998</v>
      </c>
      <c r="K51" s="5">
        <v>429.53456999999997</v>
      </c>
      <c r="L51" s="5">
        <v>661.85469000000001</v>
      </c>
      <c r="M51" s="5">
        <v>854.51076</v>
      </c>
    </row>
    <row r="52" spans="1:13" x14ac:dyDescent="0.25">
      <c r="A52" s="69">
        <v>42227</v>
      </c>
      <c r="B52" s="5">
        <v>128.66758999999999</v>
      </c>
      <c r="C52" s="5">
        <v>157.75939</v>
      </c>
      <c r="D52" s="5">
        <v>208.65989999999999</v>
      </c>
      <c r="E52" s="5">
        <v>292.60458</v>
      </c>
      <c r="F52" s="5">
        <v>509.64019999999999</v>
      </c>
      <c r="G52" s="5">
        <v>0</v>
      </c>
      <c r="H52" s="5">
        <v>156.13046</v>
      </c>
      <c r="I52" s="5">
        <v>225.46395000000001</v>
      </c>
      <c r="J52" s="5">
        <v>319.63533000000001</v>
      </c>
      <c r="K52" s="5">
        <v>429.71883000000003</v>
      </c>
      <c r="L52" s="5">
        <v>661.60469000000001</v>
      </c>
      <c r="M52" s="5">
        <v>854.41395</v>
      </c>
    </row>
    <row r="53" spans="1:13" x14ac:dyDescent="0.25">
      <c r="A53" s="69">
        <v>42228</v>
      </c>
      <c r="B53" s="5">
        <v>128.72279</v>
      </c>
      <c r="C53" s="5">
        <v>157.84693999999999</v>
      </c>
      <c r="D53" s="5">
        <v>208.86600000000001</v>
      </c>
      <c r="E53" s="5">
        <v>292.95188999999999</v>
      </c>
      <c r="F53" s="5">
        <v>509.48865999999998</v>
      </c>
      <c r="G53" s="5">
        <v>0</v>
      </c>
      <c r="H53" s="5">
        <v>156.14159000000001</v>
      </c>
      <c r="I53" s="5">
        <v>225.464</v>
      </c>
      <c r="J53" s="5">
        <v>319.64695</v>
      </c>
      <c r="K53" s="5">
        <v>429.90989999999999</v>
      </c>
      <c r="L53" s="5">
        <v>661.65106000000003</v>
      </c>
      <c r="M53" s="5">
        <v>854.41714999999999</v>
      </c>
    </row>
    <row r="54" spans="1:13" x14ac:dyDescent="0.25">
      <c r="A54" s="69">
        <v>42229</v>
      </c>
      <c r="B54" s="5">
        <v>128.65056999999999</v>
      </c>
      <c r="C54" s="5">
        <v>157.73125999999999</v>
      </c>
      <c r="D54" s="5">
        <v>208.74162000000001</v>
      </c>
      <c r="E54" s="5">
        <v>292.94887</v>
      </c>
      <c r="F54" s="5">
        <v>509.12151</v>
      </c>
      <c r="G54" s="5">
        <v>0</v>
      </c>
      <c r="H54" s="5">
        <v>156.15062</v>
      </c>
      <c r="I54" s="5">
        <v>225.35751999999999</v>
      </c>
      <c r="J54" s="5">
        <v>318.39715000000001</v>
      </c>
      <c r="K54" s="5">
        <v>429.85025999999999</v>
      </c>
      <c r="L54" s="5">
        <v>661.67745000000002</v>
      </c>
      <c r="M54" s="5">
        <v>854.41513999999995</v>
      </c>
    </row>
    <row r="55" spans="1:13" x14ac:dyDescent="0.25">
      <c r="A55" s="69">
        <v>42230</v>
      </c>
      <c r="B55" s="5">
        <v>128.68673999999999</v>
      </c>
      <c r="C55" s="5">
        <v>157.61033</v>
      </c>
      <c r="D55" s="5">
        <v>208.73794000000001</v>
      </c>
      <c r="E55" s="5">
        <v>292.73370999999997</v>
      </c>
      <c r="F55" s="5">
        <v>509.11977000000002</v>
      </c>
      <c r="G55" s="5">
        <v>0</v>
      </c>
      <c r="H55" s="5">
        <v>156.15183999999999</v>
      </c>
      <c r="I55" s="5">
        <v>225.35785999999999</v>
      </c>
      <c r="J55" s="5">
        <v>319.54548</v>
      </c>
      <c r="K55" s="5">
        <v>429.84239000000002</v>
      </c>
      <c r="L55" s="5">
        <v>661.67843000000005</v>
      </c>
      <c r="M55" s="5">
        <v>854.41724999999997</v>
      </c>
    </row>
    <row r="56" spans="1:13" x14ac:dyDescent="0.25">
      <c r="A56" s="69">
        <v>42233</v>
      </c>
      <c r="B56" s="5">
        <v>128.86551</v>
      </c>
      <c r="C56" s="5">
        <v>158.29317</v>
      </c>
      <c r="D56" s="5">
        <v>208.78841</v>
      </c>
      <c r="E56" s="5">
        <v>292.88267000000002</v>
      </c>
      <c r="F56" s="5">
        <v>509.14980000000003</v>
      </c>
      <c r="G56" s="5">
        <v>0</v>
      </c>
      <c r="H56" s="5">
        <v>156.18392</v>
      </c>
      <c r="I56" s="5">
        <v>225.37818999999999</v>
      </c>
      <c r="J56" s="5">
        <v>319.55266999999998</v>
      </c>
      <c r="K56" s="5">
        <v>429.82369999999997</v>
      </c>
      <c r="L56" s="5">
        <v>661.77722000000006</v>
      </c>
      <c r="M56" s="5">
        <v>854.40480000000002</v>
      </c>
    </row>
    <row r="57" spans="1:13" x14ac:dyDescent="0.25">
      <c r="A57" s="69">
        <v>42234</v>
      </c>
      <c r="B57" s="5">
        <v>128.50153</v>
      </c>
      <c r="C57" s="5">
        <v>158.31392</v>
      </c>
      <c r="D57" s="5">
        <v>208.80067</v>
      </c>
      <c r="E57" s="5">
        <v>292.88648000000001</v>
      </c>
      <c r="F57" s="5">
        <v>509.14343000000002</v>
      </c>
      <c r="G57" s="5">
        <v>0</v>
      </c>
      <c r="H57" s="5">
        <v>156.20419999999999</v>
      </c>
      <c r="I57" s="5">
        <v>225.46350000000001</v>
      </c>
      <c r="J57" s="5">
        <v>319.72289000000001</v>
      </c>
      <c r="K57" s="5">
        <v>429.87982</v>
      </c>
      <c r="L57" s="5">
        <v>662.08218999999997</v>
      </c>
      <c r="M57" s="5">
        <v>854.41107</v>
      </c>
    </row>
    <row r="58" spans="1:13" x14ac:dyDescent="0.25">
      <c r="A58" s="69">
        <v>42235</v>
      </c>
      <c r="B58" s="5">
        <v>127.31496</v>
      </c>
      <c r="C58" s="5">
        <v>159.51544999999999</v>
      </c>
      <c r="D58" s="5">
        <v>209.69664</v>
      </c>
      <c r="E58" s="5">
        <v>293.59088000000003</v>
      </c>
      <c r="F58" s="5">
        <v>508.54912999999999</v>
      </c>
      <c r="G58" s="5">
        <v>0</v>
      </c>
      <c r="H58" s="5">
        <v>156.19179</v>
      </c>
      <c r="I58" s="5">
        <v>225.45523</v>
      </c>
      <c r="J58" s="5">
        <v>319.67763000000002</v>
      </c>
      <c r="K58" s="5">
        <v>429.88042000000002</v>
      </c>
      <c r="L58" s="5">
        <v>662.06268999999998</v>
      </c>
      <c r="M58" s="5">
        <v>854.41704000000004</v>
      </c>
    </row>
    <row r="59" spans="1:13" x14ac:dyDescent="0.25">
      <c r="A59" s="69">
        <v>42236</v>
      </c>
      <c r="B59" s="5">
        <v>128.08792</v>
      </c>
      <c r="C59" s="5">
        <v>159.51369</v>
      </c>
      <c r="D59" s="5">
        <v>209.71092999999999</v>
      </c>
      <c r="E59" s="5">
        <v>293.60133999999999</v>
      </c>
      <c r="F59" s="5">
        <v>508.56504999999999</v>
      </c>
      <c r="G59" s="5">
        <v>0</v>
      </c>
      <c r="H59" s="5">
        <v>156.20496</v>
      </c>
      <c r="I59" s="5">
        <v>225.46074999999999</v>
      </c>
      <c r="J59" s="5">
        <v>319.77780000000001</v>
      </c>
      <c r="K59" s="5">
        <v>429.88405</v>
      </c>
      <c r="L59" s="5">
        <v>662.12892999999997</v>
      </c>
      <c r="M59" s="5">
        <v>854.37567000000001</v>
      </c>
    </row>
    <row r="60" spans="1:13" x14ac:dyDescent="0.25">
      <c r="A60" s="69">
        <v>42237</v>
      </c>
      <c r="B60" s="5">
        <v>128.21178</v>
      </c>
      <c r="C60" s="5">
        <v>159.88490999999999</v>
      </c>
      <c r="D60" s="5">
        <v>209.74933999999999</v>
      </c>
      <c r="E60" s="5">
        <v>293.64589000000001</v>
      </c>
      <c r="F60" s="5">
        <v>508.63837000000001</v>
      </c>
      <c r="G60" s="5">
        <v>0</v>
      </c>
      <c r="H60" s="5">
        <v>156.20403999999999</v>
      </c>
      <c r="I60" s="5">
        <v>225.45420999999999</v>
      </c>
      <c r="J60" s="5">
        <v>319.78172000000001</v>
      </c>
      <c r="K60" s="5">
        <v>429.88556</v>
      </c>
      <c r="L60" s="5">
        <v>662.14049999999997</v>
      </c>
      <c r="M60" s="5">
        <v>854.41013999999996</v>
      </c>
    </row>
    <row r="61" spans="1:13" x14ac:dyDescent="0.25">
      <c r="A61" s="69">
        <v>42240</v>
      </c>
      <c r="B61" s="5">
        <v>130.22015999999999</v>
      </c>
      <c r="C61" s="5">
        <v>164.88159999999999</v>
      </c>
      <c r="D61" s="5">
        <v>217.74039999999999</v>
      </c>
      <c r="E61" s="5">
        <v>308.87711999999999</v>
      </c>
      <c r="F61" s="5">
        <v>529.08986000000004</v>
      </c>
      <c r="G61" s="5">
        <v>0</v>
      </c>
      <c r="H61" s="5">
        <v>159.48007000000001</v>
      </c>
      <c r="I61" s="5">
        <v>234.94659999999999</v>
      </c>
      <c r="J61" s="5">
        <v>333.72881000000001</v>
      </c>
      <c r="K61" s="5">
        <v>454.34699999999998</v>
      </c>
      <c r="L61" s="5">
        <v>695.29436999999996</v>
      </c>
      <c r="M61" s="5">
        <v>894.95554000000004</v>
      </c>
    </row>
    <row r="62" spans="1:13" x14ac:dyDescent="0.25">
      <c r="A62" s="69">
        <v>42241</v>
      </c>
      <c r="B62" s="5">
        <v>130.13645</v>
      </c>
      <c r="C62" s="5">
        <v>165.05539999999999</v>
      </c>
      <c r="D62" s="5">
        <v>217.5282</v>
      </c>
      <c r="E62" s="5">
        <v>308.83899000000002</v>
      </c>
      <c r="F62" s="5">
        <v>529.11577999999997</v>
      </c>
      <c r="G62" s="5">
        <v>0</v>
      </c>
      <c r="H62" s="5">
        <v>159.50573</v>
      </c>
      <c r="I62" s="5">
        <v>235.01742999999999</v>
      </c>
      <c r="J62" s="5">
        <v>333.60910999999999</v>
      </c>
      <c r="K62" s="5">
        <v>454.37493999999998</v>
      </c>
      <c r="L62" s="5">
        <v>695.39012000000002</v>
      </c>
      <c r="M62" s="5">
        <v>894.94584999999995</v>
      </c>
    </row>
    <row r="63" spans="1:13" x14ac:dyDescent="0.25">
      <c r="A63" s="69">
        <v>42242</v>
      </c>
      <c r="B63" s="5">
        <v>130.11899</v>
      </c>
      <c r="C63" s="5">
        <v>165.04991999999999</v>
      </c>
      <c r="D63" s="5">
        <v>217.61684</v>
      </c>
      <c r="E63" s="5">
        <v>308.85016999999999</v>
      </c>
      <c r="F63" s="5">
        <v>529.13593000000003</v>
      </c>
      <c r="G63" s="5">
        <v>0</v>
      </c>
      <c r="H63" s="5">
        <v>159.51598999999999</v>
      </c>
      <c r="I63" s="5">
        <v>235.06171000000001</v>
      </c>
      <c r="J63" s="5">
        <v>333.62187</v>
      </c>
      <c r="K63" s="5">
        <v>454.26400000000001</v>
      </c>
      <c r="L63" s="5">
        <v>695.24046999999996</v>
      </c>
      <c r="M63" s="5">
        <v>894.91034000000002</v>
      </c>
    </row>
    <row r="64" spans="1:13" x14ac:dyDescent="0.25">
      <c r="A64" s="69">
        <v>42243</v>
      </c>
      <c r="B64" s="5">
        <v>130.10717</v>
      </c>
      <c r="C64" s="5">
        <v>165.13427999999999</v>
      </c>
      <c r="D64" s="5">
        <v>216.35265999999999</v>
      </c>
      <c r="E64" s="5">
        <v>308.9615</v>
      </c>
      <c r="F64" s="5">
        <v>529.28296999999998</v>
      </c>
      <c r="G64" s="5">
        <v>0</v>
      </c>
      <c r="H64" s="5">
        <v>159.57929999999999</v>
      </c>
      <c r="I64" s="5">
        <v>234.99712</v>
      </c>
      <c r="J64" s="5">
        <v>333.68385000000001</v>
      </c>
      <c r="K64" s="5">
        <v>454.25125000000003</v>
      </c>
      <c r="L64" s="5">
        <v>695.33551</v>
      </c>
      <c r="M64" s="5">
        <v>895.60932000000003</v>
      </c>
    </row>
    <row r="65" spans="1:13" x14ac:dyDescent="0.25">
      <c r="A65" s="69">
        <v>42244</v>
      </c>
      <c r="B65" s="5">
        <v>130.49656999999999</v>
      </c>
      <c r="C65" s="5">
        <v>165.49294</v>
      </c>
      <c r="D65" s="5">
        <v>217.44774000000001</v>
      </c>
      <c r="E65" s="5">
        <v>308.83321000000001</v>
      </c>
      <c r="F65" s="5">
        <v>529.57554000000005</v>
      </c>
      <c r="G65" s="5">
        <v>0</v>
      </c>
      <c r="H65" s="5">
        <v>159.69945999999999</v>
      </c>
      <c r="I65" s="5">
        <v>234.87773999999999</v>
      </c>
      <c r="J65" s="5">
        <v>334.09625999999997</v>
      </c>
      <c r="K65" s="5">
        <v>453.94272999999998</v>
      </c>
      <c r="L65" s="5">
        <v>695.46770000000004</v>
      </c>
      <c r="M65" s="5">
        <v>895.61220000000003</v>
      </c>
    </row>
    <row r="66" spans="1:13" x14ac:dyDescent="0.25">
      <c r="A66" s="69">
        <v>42247</v>
      </c>
      <c r="B66" s="5">
        <v>131.08187000000001</v>
      </c>
      <c r="C66" s="5">
        <v>165.61732000000001</v>
      </c>
      <c r="D66" s="5">
        <v>217.47047000000001</v>
      </c>
      <c r="E66" s="5">
        <v>308.4615</v>
      </c>
      <c r="F66" s="5">
        <v>529.59252000000004</v>
      </c>
      <c r="G66" s="5">
        <v>0</v>
      </c>
      <c r="H66" s="5">
        <v>159.21722</v>
      </c>
      <c r="I66" s="5">
        <v>233.78482</v>
      </c>
      <c r="J66" s="5">
        <v>332.64512999999999</v>
      </c>
      <c r="K66" s="5">
        <v>452.15186</v>
      </c>
      <c r="L66" s="5">
        <v>693.61554000000001</v>
      </c>
      <c r="M66" s="5">
        <v>891.52971000000002</v>
      </c>
    </row>
    <row r="67" spans="1:13" x14ac:dyDescent="0.25">
      <c r="A67" s="69">
        <v>42248</v>
      </c>
      <c r="B67" s="5">
        <v>131.08682999999999</v>
      </c>
      <c r="C67" s="5">
        <v>165.70743999999999</v>
      </c>
      <c r="D67" s="5">
        <v>217.52107000000001</v>
      </c>
      <c r="E67" s="5">
        <v>308.39841999999999</v>
      </c>
      <c r="F67" s="5">
        <v>529.61176999999998</v>
      </c>
      <c r="G67" s="5">
        <v>0</v>
      </c>
      <c r="H67" s="5">
        <v>159.21501000000001</v>
      </c>
      <c r="I67" s="5">
        <v>233.79798</v>
      </c>
      <c r="J67" s="5">
        <v>332.64769000000001</v>
      </c>
      <c r="K67" s="5">
        <v>452.21066000000002</v>
      </c>
      <c r="L67" s="5">
        <v>693.60258999999996</v>
      </c>
      <c r="M67" s="5">
        <v>891.53602999999998</v>
      </c>
    </row>
    <row r="68" spans="1:13" x14ac:dyDescent="0.25">
      <c r="A68" s="69">
        <v>42249</v>
      </c>
      <c r="B68" s="5">
        <v>131.12155000000001</v>
      </c>
      <c r="C68" s="5">
        <v>165.73572999999999</v>
      </c>
      <c r="D68" s="5">
        <v>217.55628999999999</v>
      </c>
      <c r="E68" s="5">
        <v>308.43576999999999</v>
      </c>
      <c r="F68" s="5">
        <v>529.29872</v>
      </c>
      <c r="G68" s="5">
        <v>0</v>
      </c>
      <c r="H68" s="5">
        <v>159.19379000000001</v>
      </c>
      <c r="I68" s="5">
        <v>233.79856000000001</v>
      </c>
      <c r="J68" s="5">
        <v>332.57862</v>
      </c>
      <c r="K68" s="5">
        <v>451.94209000000001</v>
      </c>
      <c r="L68" s="5">
        <v>693.63265999999999</v>
      </c>
      <c r="M68" s="5">
        <v>891.48258999999996</v>
      </c>
    </row>
    <row r="69" spans="1:13" x14ac:dyDescent="0.25">
      <c r="A69" s="69">
        <v>42250</v>
      </c>
      <c r="B69" s="5">
        <v>131.20577</v>
      </c>
      <c r="C69" s="5">
        <v>165.79056</v>
      </c>
      <c r="D69" s="5">
        <v>217.66471999999999</v>
      </c>
      <c r="E69" s="5">
        <v>308.58226999999999</v>
      </c>
      <c r="F69" s="5">
        <v>529.81133</v>
      </c>
      <c r="G69" s="5">
        <v>0</v>
      </c>
      <c r="H69" s="5">
        <v>159.19528</v>
      </c>
      <c r="I69" s="5">
        <v>233.77571</v>
      </c>
      <c r="J69" s="5">
        <v>332.59102000000001</v>
      </c>
      <c r="K69" s="5">
        <v>452.23176000000001</v>
      </c>
      <c r="L69" s="5">
        <v>693.40227000000004</v>
      </c>
      <c r="M69" s="5">
        <v>891.42492000000004</v>
      </c>
    </row>
    <row r="70" spans="1:13" x14ac:dyDescent="0.25">
      <c r="A70" s="69">
        <v>42251</v>
      </c>
      <c r="B70" s="5">
        <v>131.20693</v>
      </c>
      <c r="C70" s="5">
        <v>165.79662999999999</v>
      </c>
      <c r="D70" s="5">
        <v>217.67174</v>
      </c>
      <c r="E70" s="5">
        <v>308.59294999999997</v>
      </c>
      <c r="F70" s="5">
        <v>529.83228999999994</v>
      </c>
      <c r="G70" s="5">
        <v>0</v>
      </c>
      <c r="H70" s="5">
        <v>159.21001000000001</v>
      </c>
      <c r="I70" s="5">
        <v>233.77533</v>
      </c>
      <c r="J70" s="5">
        <v>332.57584000000003</v>
      </c>
      <c r="K70" s="5">
        <v>452.09309000000002</v>
      </c>
      <c r="L70" s="5">
        <v>693.46064000000001</v>
      </c>
      <c r="M70" s="5">
        <v>891.77936</v>
      </c>
    </row>
    <row r="71" spans="1:13" x14ac:dyDescent="0.25">
      <c r="A71" s="69">
        <v>42255</v>
      </c>
      <c r="B71" s="5">
        <v>131.13954000000001</v>
      </c>
      <c r="C71" s="5">
        <v>165.82726</v>
      </c>
      <c r="D71" s="5">
        <v>217.67336</v>
      </c>
      <c r="E71" s="5">
        <v>308.60354999999998</v>
      </c>
      <c r="F71" s="5">
        <v>529.82993999999997</v>
      </c>
      <c r="G71" s="5">
        <v>0</v>
      </c>
      <c r="H71" s="5">
        <v>159.22835000000001</v>
      </c>
      <c r="I71" s="5">
        <v>233.72659999999999</v>
      </c>
      <c r="J71" s="5">
        <v>332.56455999999997</v>
      </c>
      <c r="K71" s="5">
        <v>452.05502999999999</v>
      </c>
      <c r="L71" s="5">
        <v>693.69259999999997</v>
      </c>
      <c r="M71" s="5">
        <v>891.71627000000001</v>
      </c>
    </row>
    <row r="72" spans="1:13" x14ac:dyDescent="0.25">
      <c r="A72" s="69">
        <v>42256</v>
      </c>
      <c r="B72" s="5">
        <v>131.09908999999999</v>
      </c>
      <c r="C72" s="5">
        <v>165.8443</v>
      </c>
      <c r="D72" s="5">
        <v>217.65819999999999</v>
      </c>
      <c r="E72" s="5">
        <v>308.61876000000001</v>
      </c>
      <c r="F72" s="5">
        <v>529.53734999999995</v>
      </c>
      <c r="G72" s="5">
        <v>0</v>
      </c>
      <c r="H72" s="5">
        <v>159.22996000000001</v>
      </c>
      <c r="I72" s="5">
        <v>233.72745</v>
      </c>
      <c r="J72" s="5">
        <v>332.5446</v>
      </c>
      <c r="K72" s="5">
        <v>452.05135000000001</v>
      </c>
      <c r="L72" s="5">
        <v>693.26086999999995</v>
      </c>
      <c r="M72" s="5">
        <v>891.73143000000005</v>
      </c>
    </row>
    <row r="73" spans="1:13" x14ac:dyDescent="0.25">
      <c r="A73" s="69">
        <v>42257</v>
      </c>
      <c r="B73" s="5">
        <v>131.17198999999999</v>
      </c>
      <c r="C73" s="5">
        <v>165.97881000000001</v>
      </c>
      <c r="D73" s="5">
        <v>217.67706999999999</v>
      </c>
      <c r="E73" s="5">
        <v>308.48961000000003</v>
      </c>
      <c r="F73" s="5">
        <v>529.55341999999996</v>
      </c>
      <c r="G73" s="5">
        <v>0</v>
      </c>
      <c r="H73" s="5">
        <v>159.25122999999999</v>
      </c>
      <c r="I73" s="5">
        <v>233.72198</v>
      </c>
      <c r="J73" s="5">
        <v>332.54804000000001</v>
      </c>
      <c r="K73" s="5">
        <v>451.97881999999998</v>
      </c>
      <c r="L73" s="5">
        <v>693.54215999999997</v>
      </c>
      <c r="M73" s="5">
        <v>891.73432000000003</v>
      </c>
    </row>
    <row r="74" spans="1:13" x14ac:dyDescent="0.25">
      <c r="A74" s="69">
        <v>42258</v>
      </c>
      <c r="B74" s="5">
        <v>132.29533000000001</v>
      </c>
      <c r="C74" s="5">
        <v>167.10937000000001</v>
      </c>
      <c r="D74" s="5">
        <v>217.9606</v>
      </c>
      <c r="E74" s="5">
        <v>308.50371000000001</v>
      </c>
      <c r="F74" s="5">
        <v>528.62944000000005</v>
      </c>
      <c r="G74" s="5">
        <v>0</v>
      </c>
      <c r="H74" s="5">
        <v>159.24223000000001</v>
      </c>
      <c r="I74" s="5">
        <v>233.70475999999999</v>
      </c>
      <c r="J74" s="5">
        <v>332.48090999999999</v>
      </c>
      <c r="K74" s="5">
        <v>451.86313999999999</v>
      </c>
      <c r="L74" s="5">
        <v>693.51462000000004</v>
      </c>
      <c r="M74" s="5">
        <v>891.70684000000006</v>
      </c>
    </row>
    <row r="75" spans="1:13" x14ac:dyDescent="0.25">
      <c r="A75" s="69">
        <v>42261</v>
      </c>
      <c r="B75" s="5">
        <v>131.18781000000001</v>
      </c>
      <c r="C75" s="5">
        <v>166.95558</v>
      </c>
      <c r="D75" s="5">
        <v>216.83184</v>
      </c>
      <c r="E75" s="5">
        <v>308.31855999999999</v>
      </c>
      <c r="F75" s="5">
        <v>528.82862</v>
      </c>
      <c r="G75" s="5">
        <v>0</v>
      </c>
      <c r="H75" s="5">
        <v>159.22739999999999</v>
      </c>
      <c r="I75" s="5">
        <v>233.70600999999999</v>
      </c>
      <c r="J75" s="5">
        <v>332.45479999999998</v>
      </c>
      <c r="K75" s="5">
        <v>451.85676999999998</v>
      </c>
      <c r="L75" s="5">
        <v>693.55435</v>
      </c>
      <c r="M75" s="5">
        <v>891.71501000000001</v>
      </c>
    </row>
    <row r="76" spans="1:13" x14ac:dyDescent="0.25">
      <c r="A76" s="69">
        <v>42262</v>
      </c>
      <c r="B76" s="5">
        <v>132.01405</v>
      </c>
      <c r="C76" s="5">
        <v>166.93772000000001</v>
      </c>
      <c r="D76" s="5">
        <v>216.82843</v>
      </c>
      <c r="E76" s="5">
        <v>308.27188000000001</v>
      </c>
      <c r="F76" s="5">
        <v>528.61869000000002</v>
      </c>
      <c r="G76" s="5">
        <v>0</v>
      </c>
      <c r="H76" s="5">
        <v>159.25783000000001</v>
      </c>
      <c r="I76" s="5">
        <v>233.65057999999999</v>
      </c>
      <c r="J76" s="5">
        <v>332.47669000000002</v>
      </c>
      <c r="K76" s="5">
        <v>451.77627999999999</v>
      </c>
      <c r="L76" s="5">
        <v>693.55075999999997</v>
      </c>
      <c r="M76" s="5">
        <v>891.71105999999997</v>
      </c>
    </row>
    <row r="77" spans="1:13" x14ac:dyDescent="0.25">
      <c r="A77" s="69">
        <v>42263</v>
      </c>
      <c r="B77" s="5">
        <v>132.07518999999999</v>
      </c>
      <c r="C77" s="5">
        <v>167.05117999999999</v>
      </c>
      <c r="D77" s="5">
        <v>216.84433000000001</v>
      </c>
      <c r="E77" s="5">
        <v>308.31020999999998</v>
      </c>
      <c r="F77" s="5">
        <v>528.72163999999998</v>
      </c>
      <c r="G77" s="5">
        <v>0</v>
      </c>
      <c r="H77" s="5">
        <v>159.27291</v>
      </c>
      <c r="I77" s="5">
        <v>233.65459999999999</v>
      </c>
      <c r="J77" s="5">
        <v>332.43544000000003</v>
      </c>
      <c r="K77" s="5">
        <v>451.77766000000003</v>
      </c>
      <c r="L77" s="5">
        <v>693.62518999999998</v>
      </c>
      <c r="M77" s="5">
        <v>891.71572000000003</v>
      </c>
    </row>
    <row r="78" spans="1:13" x14ac:dyDescent="0.25">
      <c r="A78" s="69">
        <v>42264</v>
      </c>
      <c r="B78" s="5">
        <v>132.08681999999999</v>
      </c>
      <c r="C78" s="5">
        <v>167.12091000000001</v>
      </c>
      <c r="D78" s="5">
        <v>216.93995000000001</v>
      </c>
      <c r="E78" s="5">
        <v>308.42192999999997</v>
      </c>
      <c r="F78" s="5">
        <v>527.02211999999997</v>
      </c>
      <c r="G78" s="5">
        <v>0</v>
      </c>
      <c r="H78" s="5">
        <v>159.27428</v>
      </c>
      <c r="I78" s="5">
        <v>233.65696</v>
      </c>
      <c r="J78" s="5">
        <v>332.43587000000002</v>
      </c>
      <c r="K78" s="5">
        <v>451.78064999999998</v>
      </c>
      <c r="L78" s="5">
        <v>693.65129999999999</v>
      </c>
      <c r="M78" s="5">
        <v>891.80873999999994</v>
      </c>
    </row>
    <row r="79" spans="1:13" x14ac:dyDescent="0.25">
      <c r="A79" s="69">
        <v>42265</v>
      </c>
      <c r="B79" s="5">
        <v>132.14082999999999</v>
      </c>
      <c r="C79" s="5">
        <v>167.17544000000001</v>
      </c>
      <c r="D79" s="5">
        <v>216.97702000000001</v>
      </c>
      <c r="E79" s="5">
        <v>308.44794000000002</v>
      </c>
      <c r="F79" s="5">
        <v>527.04152999999997</v>
      </c>
      <c r="G79" s="5">
        <v>0</v>
      </c>
      <c r="H79" s="5">
        <v>159.27565000000001</v>
      </c>
      <c r="I79" s="5">
        <v>233.65561</v>
      </c>
      <c r="J79" s="5">
        <v>332.43482</v>
      </c>
      <c r="K79" s="5">
        <v>451.77677999999997</v>
      </c>
      <c r="L79" s="5">
        <v>693.64673000000005</v>
      </c>
      <c r="M79" s="5">
        <v>893.65589</v>
      </c>
    </row>
    <row r="80" spans="1:13" x14ac:dyDescent="0.25">
      <c r="A80" s="69">
        <v>42268</v>
      </c>
      <c r="B80" s="5">
        <v>132.23133999999999</v>
      </c>
      <c r="C80" s="5">
        <v>167.43465</v>
      </c>
      <c r="D80" s="5">
        <v>216.98840999999999</v>
      </c>
      <c r="E80" s="5">
        <v>308.50668999999999</v>
      </c>
      <c r="F80" s="5">
        <v>527.09280000000001</v>
      </c>
      <c r="G80" s="5">
        <v>0</v>
      </c>
      <c r="H80" s="5">
        <v>159.27636999999999</v>
      </c>
      <c r="I80" s="5">
        <v>233.65619000000001</v>
      </c>
      <c r="J80" s="5">
        <v>332.43588999999997</v>
      </c>
      <c r="K80" s="5">
        <v>451.77661000000001</v>
      </c>
      <c r="L80" s="5">
        <v>693.64248999999995</v>
      </c>
      <c r="M80" s="5">
        <v>893.65661999999998</v>
      </c>
    </row>
    <row r="81" spans="1:13" x14ac:dyDescent="0.25">
      <c r="A81" s="69">
        <v>42269</v>
      </c>
      <c r="B81" s="5">
        <v>132.14071999999999</v>
      </c>
      <c r="C81" s="5">
        <v>167.49518</v>
      </c>
      <c r="D81" s="5">
        <v>217.04381000000001</v>
      </c>
      <c r="E81" s="5">
        <v>308.64573999999999</v>
      </c>
      <c r="F81" s="5">
        <v>527.53643999999997</v>
      </c>
      <c r="G81" s="5">
        <v>0</v>
      </c>
      <c r="H81" s="5">
        <v>159.31341</v>
      </c>
      <c r="I81" s="5">
        <v>233.65749</v>
      </c>
      <c r="J81" s="5">
        <v>332.44222000000002</v>
      </c>
      <c r="K81" s="5">
        <v>451.77751000000001</v>
      </c>
      <c r="L81" s="5">
        <v>693.64702</v>
      </c>
      <c r="M81" s="5">
        <v>893.66896999999994</v>
      </c>
    </row>
    <row r="82" spans="1:13" x14ac:dyDescent="0.25">
      <c r="A82" s="69">
        <v>42270</v>
      </c>
      <c r="B82" s="5">
        <v>132.32168999999999</v>
      </c>
      <c r="C82" s="5">
        <v>167.60355999999999</v>
      </c>
      <c r="D82" s="5">
        <v>217.32426000000001</v>
      </c>
      <c r="E82" s="5">
        <v>306.80626999999998</v>
      </c>
      <c r="F82" s="5">
        <v>527.58150999999998</v>
      </c>
      <c r="G82" s="5">
        <v>0</v>
      </c>
      <c r="H82" s="5">
        <v>159.35294999999999</v>
      </c>
      <c r="I82" s="5">
        <v>233.6703</v>
      </c>
      <c r="J82" s="5">
        <v>332.45001000000002</v>
      </c>
      <c r="K82" s="5">
        <v>451.77918</v>
      </c>
      <c r="L82" s="5">
        <v>693.75098000000003</v>
      </c>
      <c r="M82" s="5">
        <v>893.67555000000004</v>
      </c>
    </row>
    <row r="83" spans="1:13" x14ac:dyDescent="0.25">
      <c r="A83" s="69">
        <v>42271</v>
      </c>
      <c r="B83" s="5">
        <v>132.30131</v>
      </c>
      <c r="C83" s="5">
        <v>167.61958000000001</v>
      </c>
      <c r="D83" s="5">
        <v>217.52708000000001</v>
      </c>
      <c r="E83" s="5">
        <v>306.77343000000002</v>
      </c>
      <c r="F83" s="5">
        <v>527.58462999999995</v>
      </c>
      <c r="G83" s="5">
        <v>0</v>
      </c>
      <c r="H83" s="5">
        <v>159.41831999999999</v>
      </c>
      <c r="I83" s="5">
        <v>233.66970000000001</v>
      </c>
      <c r="J83" s="5">
        <v>332.47978000000001</v>
      </c>
      <c r="K83" s="5">
        <v>451.76560999999998</v>
      </c>
      <c r="L83" s="5">
        <v>693.88603999999998</v>
      </c>
      <c r="M83" s="5">
        <v>893.67179999999996</v>
      </c>
    </row>
    <row r="84" spans="1:13" x14ac:dyDescent="0.25">
      <c r="A84" s="69">
        <v>42272</v>
      </c>
      <c r="B84" s="5">
        <v>132.30267000000001</v>
      </c>
      <c r="C84" s="5">
        <v>168.20093</v>
      </c>
      <c r="D84" s="5">
        <v>217.62836999999999</v>
      </c>
      <c r="E84" s="5">
        <v>307.02449999999999</v>
      </c>
      <c r="F84" s="5">
        <v>527.64374999999995</v>
      </c>
      <c r="G84" s="5">
        <v>0</v>
      </c>
      <c r="H84" s="5">
        <v>159.48672999999999</v>
      </c>
      <c r="I84" s="5">
        <v>233.64859000000001</v>
      </c>
      <c r="J84" s="5">
        <v>332.48232999999999</v>
      </c>
      <c r="K84" s="5">
        <v>451.77352000000002</v>
      </c>
      <c r="L84" s="5">
        <v>693.91836999999998</v>
      </c>
      <c r="M84" s="5">
        <v>893.79308000000003</v>
      </c>
    </row>
    <row r="85" spans="1:13" x14ac:dyDescent="0.25">
      <c r="A85" s="69">
        <v>42275</v>
      </c>
      <c r="B85" s="5">
        <v>137.16846000000001</v>
      </c>
      <c r="C85" s="5">
        <v>172.04301000000001</v>
      </c>
      <c r="D85" s="5">
        <v>227.46057999999999</v>
      </c>
      <c r="E85" s="5">
        <v>320.28282999999999</v>
      </c>
      <c r="F85" s="5">
        <v>547.26964999999996</v>
      </c>
      <c r="G85" s="5">
        <v>0</v>
      </c>
      <c r="H85" s="5">
        <v>165.35016999999999</v>
      </c>
      <c r="I85" s="5">
        <v>241.75496000000001</v>
      </c>
      <c r="J85" s="5">
        <v>344.02488</v>
      </c>
      <c r="K85" s="5">
        <v>462.62049999999999</v>
      </c>
      <c r="L85" s="5">
        <v>724.23083999999994</v>
      </c>
      <c r="M85" s="5">
        <v>932.36834999999996</v>
      </c>
    </row>
    <row r="86" spans="1:13" x14ac:dyDescent="0.25">
      <c r="A86" s="69">
        <v>42276</v>
      </c>
      <c r="B86" s="5">
        <v>137.66099</v>
      </c>
      <c r="C86" s="5">
        <v>173.16111000000001</v>
      </c>
      <c r="D86" s="5">
        <v>227.54122000000001</v>
      </c>
      <c r="E86" s="5">
        <v>320.12851999999998</v>
      </c>
      <c r="F86" s="5">
        <v>547.29371000000003</v>
      </c>
      <c r="G86" s="5">
        <v>0</v>
      </c>
      <c r="H86" s="5">
        <v>165.31242</v>
      </c>
      <c r="I86" s="5">
        <v>245.39923999999999</v>
      </c>
      <c r="J86" s="5">
        <v>343.79057</v>
      </c>
      <c r="K86" s="5">
        <v>478.55131</v>
      </c>
      <c r="L86" s="5">
        <v>746.06358</v>
      </c>
      <c r="M86" s="5">
        <v>950.76994000000002</v>
      </c>
    </row>
    <row r="87" spans="1:13" x14ac:dyDescent="0.25">
      <c r="A87" s="69">
        <v>42277</v>
      </c>
      <c r="B87" s="5">
        <v>137.71161000000001</v>
      </c>
      <c r="C87" s="5">
        <v>174.26562999999999</v>
      </c>
      <c r="D87" s="5">
        <v>228.08774</v>
      </c>
      <c r="E87" s="5">
        <v>320.23189000000002</v>
      </c>
      <c r="F87" s="5">
        <v>546.95016999999996</v>
      </c>
      <c r="G87" s="5">
        <v>0</v>
      </c>
      <c r="H87" s="5">
        <v>165.00228000000001</v>
      </c>
      <c r="I87" s="5">
        <v>244.65879000000001</v>
      </c>
      <c r="J87" s="5">
        <v>343.15665000000001</v>
      </c>
      <c r="K87" s="5">
        <v>476.92264</v>
      </c>
      <c r="L87" s="5">
        <v>745.25761999999997</v>
      </c>
      <c r="M87" s="5">
        <v>949.14022</v>
      </c>
    </row>
    <row r="88" spans="1:13" x14ac:dyDescent="0.25">
      <c r="A88" s="69">
        <v>42278</v>
      </c>
      <c r="B88" s="5">
        <v>137.72291999999999</v>
      </c>
      <c r="C88" s="5">
        <v>174.28373999999999</v>
      </c>
      <c r="D88" s="5">
        <v>227.94657000000001</v>
      </c>
      <c r="E88" s="5">
        <v>320.16331000000002</v>
      </c>
      <c r="F88" s="5">
        <v>546.97407999999996</v>
      </c>
      <c r="G88" s="5">
        <v>0</v>
      </c>
      <c r="H88" s="5">
        <v>165.05602999999999</v>
      </c>
      <c r="I88" s="5">
        <v>244.66289</v>
      </c>
      <c r="J88" s="5">
        <v>343.09217000000001</v>
      </c>
      <c r="K88" s="5">
        <v>476.91095000000001</v>
      </c>
      <c r="L88" s="5">
        <v>745.26044999999999</v>
      </c>
      <c r="M88" s="5">
        <v>949.14387999999997</v>
      </c>
    </row>
    <row r="89" spans="1:13" x14ac:dyDescent="0.25">
      <c r="A89" s="69">
        <v>42279</v>
      </c>
      <c r="B89" s="5">
        <v>137.65442999999999</v>
      </c>
      <c r="C89" s="5">
        <v>174.44653</v>
      </c>
      <c r="D89" s="5">
        <v>227.90125</v>
      </c>
      <c r="E89" s="5">
        <v>320.15422000000001</v>
      </c>
      <c r="F89" s="5">
        <v>546.99789999999996</v>
      </c>
      <c r="G89" s="5">
        <v>0</v>
      </c>
      <c r="H89" s="5">
        <v>165.11918</v>
      </c>
      <c r="I89" s="5">
        <v>244.65120999999999</v>
      </c>
      <c r="J89" s="5">
        <v>343.20566000000002</v>
      </c>
      <c r="K89" s="5">
        <v>476.25844999999998</v>
      </c>
      <c r="L89" s="5">
        <v>745.50539000000003</v>
      </c>
      <c r="M89" s="5">
        <v>949.15102000000002</v>
      </c>
    </row>
    <row r="90" spans="1:13" x14ac:dyDescent="0.25">
      <c r="A90" s="69">
        <v>42282</v>
      </c>
      <c r="B90" s="5">
        <v>137.70648</v>
      </c>
      <c r="C90" s="5">
        <v>174.46743000000001</v>
      </c>
      <c r="D90" s="5">
        <v>227.82917</v>
      </c>
      <c r="E90" s="5">
        <v>321.59264999999999</v>
      </c>
      <c r="F90" s="5">
        <v>546.28479000000004</v>
      </c>
      <c r="G90" s="5">
        <v>0</v>
      </c>
      <c r="H90" s="5">
        <v>165.12103999999999</v>
      </c>
      <c r="I90" s="5">
        <v>244.65185</v>
      </c>
      <c r="J90" s="5">
        <v>343.23394000000002</v>
      </c>
      <c r="K90" s="5">
        <v>476.15233000000001</v>
      </c>
      <c r="L90" s="5">
        <v>745.35573999999997</v>
      </c>
      <c r="M90" s="5">
        <v>949.25984000000005</v>
      </c>
    </row>
    <row r="91" spans="1:13" x14ac:dyDescent="0.25">
      <c r="A91" s="69">
        <v>42283</v>
      </c>
      <c r="B91" s="5">
        <v>138.20930000000001</v>
      </c>
      <c r="C91" s="5">
        <v>175.08869999999999</v>
      </c>
      <c r="D91" s="5">
        <v>228.43599</v>
      </c>
      <c r="E91" s="5">
        <v>321.83262999999999</v>
      </c>
      <c r="F91" s="5">
        <v>546.29205999999999</v>
      </c>
      <c r="G91" s="5">
        <v>0</v>
      </c>
      <c r="H91" s="5">
        <v>165.21508</v>
      </c>
      <c r="I91" s="5">
        <v>244.71679</v>
      </c>
      <c r="J91" s="5">
        <v>343.23074000000003</v>
      </c>
      <c r="K91" s="5">
        <v>476.06707999999998</v>
      </c>
      <c r="L91" s="5">
        <v>747.63588000000004</v>
      </c>
      <c r="M91" s="5">
        <v>949.26386000000002</v>
      </c>
    </row>
    <row r="92" spans="1:13" x14ac:dyDescent="0.25">
      <c r="A92" s="69">
        <v>42284</v>
      </c>
      <c r="B92" s="5">
        <v>138.30993000000001</v>
      </c>
      <c r="C92" s="5">
        <v>175.12733</v>
      </c>
      <c r="D92" s="5">
        <v>228.53975</v>
      </c>
      <c r="E92" s="5">
        <v>321.26074</v>
      </c>
      <c r="F92" s="5">
        <v>545.48802000000001</v>
      </c>
      <c r="G92" s="5">
        <v>0</v>
      </c>
      <c r="H92" s="5">
        <v>165.10888</v>
      </c>
      <c r="I92" s="5">
        <v>244.65373</v>
      </c>
      <c r="J92" s="5">
        <v>343.27388000000002</v>
      </c>
      <c r="K92" s="5">
        <v>475.87687</v>
      </c>
      <c r="L92" s="5">
        <v>749.20324000000005</v>
      </c>
      <c r="M92" s="5">
        <v>951.31019000000003</v>
      </c>
    </row>
    <row r="93" spans="1:13" x14ac:dyDescent="0.25">
      <c r="A93" s="69">
        <v>42285</v>
      </c>
      <c r="B93" s="5">
        <v>138.2268</v>
      </c>
      <c r="C93" s="5">
        <v>175.12267</v>
      </c>
      <c r="D93" s="5">
        <v>228.54318000000001</v>
      </c>
      <c r="E93" s="5">
        <v>321.26391999999998</v>
      </c>
      <c r="F93" s="5">
        <v>545.01297</v>
      </c>
      <c r="G93" s="5">
        <v>0</v>
      </c>
      <c r="H93" s="5">
        <v>165.08123000000001</v>
      </c>
      <c r="I93" s="5">
        <v>244.65485000000001</v>
      </c>
      <c r="J93" s="5">
        <v>343.30829</v>
      </c>
      <c r="K93" s="5">
        <v>476.01330999999999</v>
      </c>
      <c r="L93" s="5">
        <v>749.43907000000002</v>
      </c>
      <c r="M93" s="5">
        <v>951.29976999999997</v>
      </c>
    </row>
    <row r="94" spans="1:13" x14ac:dyDescent="0.25">
      <c r="A94" s="69">
        <v>42286</v>
      </c>
      <c r="B94" s="5">
        <v>139.37043</v>
      </c>
      <c r="C94" s="5">
        <v>177.25962000000001</v>
      </c>
      <c r="D94" s="5">
        <v>229.45089999999999</v>
      </c>
      <c r="E94" s="5">
        <v>321.20377999999999</v>
      </c>
      <c r="F94" s="5">
        <v>545.15498000000002</v>
      </c>
      <c r="G94" s="5">
        <v>0</v>
      </c>
      <c r="H94" s="5">
        <v>165.19466</v>
      </c>
      <c r="I94" s="5">
        <v>244.65931</v>
      </c>
      <c r="J94" s="5">
        <v>343.3116</v>
      </c>
      <c r="K94" s="5">
        <v>476.05554000000001</v>
      </c>
      <c r="L94" s="5">
        <v>749.62449000000004</v>
      </c>
      <c r="M94" s="5">
        <v>951.38229999999999</v>
      </c>
    </row>
    <row r="95" spans="1:13" x14ac:dyDescent="0.25">
      <c r="A95" s="69">
        <v>42290</v>
      </c>
      <c r="B95" s="5">
        <v>139.09395000000001</v>
      </c>
      <c r="C95" s="5">
        <v>177.24055999999999</v>
      </c>
      <c r="D95" s="5">
        <v>229.31019000000001</v>
      </c>
      <c r="E95" s="5">
        <v>321.21156000000002</v>
      </c>
      <c r="F95" s="5">
        <v>545.77625999999998</v>
      </c>
      <c r="G95" s="5">
        <v>0</v>
      </c>
      <c r="H95" s="5">
        <v>165.19878</v>
      </c>
      <c r="I95" s="5">
        <v>244.66067000000001</v>
      </c>
      <c r="J95" s="5">
        <v>343.31288999999998</v>
      </c>
      <c r="K95" s="5">
        <v>475.99016</v>
      </c>
      <c r="L95" s="5">
        <v>749.62558999999999</v>
      </c>
      <c r="M95" s="5">
        <v>951.95084999999995</v>
      </c>
    </row>
    <row r="96" spans="1:13" x14ac:dyDescent="0.25">
      <c r="A96" s="69">
        <v>42291</v>
      </c>
      <c r="B96" s="5">
        <v>138.97004000000001</v>
      </c>
      <c r="C96" s="5">
        <v>177.2475</v>
      </c>
      <c r="D96" s="5">
        <v>229.42236</v>
      </c>
      <c r="E96" s="5">
        <v>321.23795999999999</v>
      </c>
      <c r="F96" s="5">
        <v>545.79033000000004</v>
      </c>
      <c r="G96" s="5">
        <v>0</v>
      </c>
      <c r="H96" s="5">
        <v>165.23390000000001</v>
      </c>
      <c r="I96" s="5">
        <v>244.66918999999999</v>
      </c>
      <c r="J96" s="5">
        <v>343.45103</v>
      </c>
      <c r="K96" s="5">
        <v>476.33355</v>
      </c>
      <c r="L96" s="5">
        <v>750.12607000000003</v>
      </c>
      <c r="M96" s="5">
        <v>952.05083000000002</v>
      </c>
    </row>
    <row r="97" spans="1:13" x14ac:dyDescent="0.25">
      <c r="A97" s="69">
        <v>42292</v>
      </c>
      <c r="B97" s="5">
        <v>139.20263</v>
      </c>
      <c r="C97" s="5">
        <v>179.41129000000001</v>
      </c>
      <c r="D97" s="5">
        <v>230.53285</v>
      </c>
      <c r="E97" s="5">
        <v>321.50898999999998</v>
      </c>
      <c r="F97" s="5">
        <v>545.75061000000005</v>
      </c>
      <c r="G97" s="5">
        <v>0</v>
      </c>
      <c r="H97" s="5">
        <v>165.21427</v>
      </c>
      <c r="I97" s="5">
        <v>244.66616999999999</v>
      </c>
      <c r="J97" s="5">
        <v>343.44162999999998</v>
      </c>
      <c r="K97" s="5">
        <v>476.77596</v>
      </c>
      <c r="L97" s="5">
        <v>750.75721999999996</v>
      </c>
      <c r="M97" s="5">
        <v>952.23780999999997</v>
      </c>
    </row>
    <row r="98" spans="1:13" x14ac:dyDescent="0.25">
      <c r="A98" s="69">
        <v>42293</v>
      </c>
      <c r="B98" s="5">
        <v>139.28970000000001</v>
      </c>
      <c r="C98" s="5">
        <v>179.42159000000001</v>
      </c>
      <c r="D98" s="5">
        <v>230.57812999999999</v>
      </c>
      <c r="E98" s="5">
        <v>321.55290000000002</v>
      </c>
      <c r="F98" s="5">
        <v>545.77426000000003</v>
      </c>
      <c r="G98" s="5">
        <v>0</v>
      </c>
      <c r="H98" s="5">
        <v>165.20799</v>
      </c>
      <c r="I98" s="5">
        <v>244.54317</v>
      </c>
      <c r="J98" s="5">
        <v>343.39686999999998</v>
      </c>
      <c r="K98" s="5">
        <v>476.73295000000002</v>
      </c>
      <c r="L98" s="5">
        <v>750.86807999999996</v>
      </c>
      <c r="M98" s="5">
        <v>952.70955000000004</v>
      </c>
    </row>
    <row r="99" spans="1:13" x14ac:dyDescent="0.25">
      <c r="A99" s="69">
        <v>42296</v>
      </c>
      <c r="B99" s="5">
        <v>139.66768999999999</v>
      </c>
      <c r="C99" s="5">
        <v>179.41641999999999</v>
      </c>
      <c r="D99" s="5">
        <v>231.22478000000001</v>
      </c>
      <c r="E99" s="5">
        <v>321.56858999999997</v>
      </c>
      <c r="F99" s="5">
        <v>545.56293000000005</v>
      </c>
      <c r="G99" s="5">
        <v>0</v>
      </c>
      <c r="H99" s="5">
        <v>165.20804000000001</v>
      </c>
      <c r="I99" s="5">
        <v>244.54747</v>
      </c>
      <c r="J99" s="5">
        <v>343.40390000000002</v>
      </c>
      <c r="K99" s="5">
        <v>476.73674999999997</v>
      </c>
      <c r="L99" s="5">
        <v>751.10581999999999</v>
      </c>
      <c r="M99" s="5">
        <v>953.02743999999996</v>
      </c>
    </row>
    <row r="100" spans="1:13" x14ac:dyDescent="0.25">
      <c r="A100" s="69">
        <v>42297</v>
      </c>
      <c r="B100" s="5">
        <v>139.6525</v>
      </c>
      <c r="C100" s="5">
        <v>179.36213000000001</v>
      </c>
      <c r="D100" s="5">
        <v>231.21606</v>
      </c>
      <c r="E100" s="5">
        <v>321.57445000000001</v>
      </c>
      <c r="F100" s="5">
        <v>544.94199000000003</v>
      </c>
      <c r="G100" s="5">
        <v>0</v>
      </c>
      <c r="H100" s="5">
        <v>165.27826999999999</v>
      </c>
      <c r="I100" s="5">
        <v>244.54615000000001</v>
      </c>
      <c r="J100" s="5">
        <v>343.42156999999997</v>
      </c>
      <c r="K100" s="5">
        <v>476.72613000000001</v>
      </c>
      <c r="L100" s="5">
        <v>751.41399999999999</v>
      </c>
      <c r="M100" s="5">
        <v>952.77196000000004</v>
      </c>
    </row>
    <row r="101" spans="1:13" x14ac:dyDescent="0.25">
      <c r="A101" s="69">
        <v>42298</v>
      </c>
      <c r="B101" s="5">
        <v>139.72628</v>
      </c>
      <c r="C101" s="5">
        <v>179.35570999999999</v>
      </c>
      <c r="D101" s="5">
        <v>231.22721000000001</v>
      </c>
      <c r="E101" s="5">
        <v>321.57585</v>
      </c>
      <c r="F101" s="5">
        <v>544.97388000000001</v>
      </c>
      <c r="G101" s="5">
        <v>0</v>
      </c>
      <c r="H101" s="5">
        <v>165.39762999999999</v>
      </c>
      <c r="I101" s="5">
        <v>244.55624</v>
      </c>
      <c r="J101" s="5">
        <v>343.44315999999998</v>
      </c>
      <c r="K101" s="5">
        <v>477.04957000000002</v>
      </c>
      <c r="L101" s="5">
        <v>751.41949999999997</v>
      </c>
      <c r="M101" s="5">
        <v>952.71524999999997</v>
      </c>
    </row>
    <row r="102" spans="1:13" x14ac:dyDescent="0.25">
      <c r="A102" s="69">
        <v>42299</v>
      </c>
      <c r="B102" s="5">
        <v>138.68204</v>
      </c>
      <c r="C102" s="5">
        <v>179.61972</v>
      </c>
      <c r="D102" s="5">
        <v>231.40101999999999</v>
      </c>
      <c r="E102" s="5">
        <v>321.89483999999999</v>
      </c>
      <c r="F102" s="5">
        <v>544.36532999999997</v>
      </c>
      <c r="G102" s="5">
        <v>0</v>
      </c>
      <c r="H102" s="5">
        <v>169.35195999999999</v>
      </c>
      <c r="I102" s="5">
        <v>249.3451</v>
      </c>
      <c r="J102" s="5">
        <v>348.26163000000003</v>
      </c>
      <c r="K102" s="5">
        <v>477.32283000000001</v>
      </c>
      <c r="L102" s="5">
        <v>751.51738999999998</v>
      </c>
      <c r="M102" s="5">
        <v>952.70005000000003</v>
      </c>
    </row>
    <row r="103" spans="1:13" x14ac:dyDescent="0.25">
      <c r="A103" s="69">
        <v>42300</v>
      </c>
      <c r="B103" s="5">
        <v>138.67452</v>
      </c>
      <c r="C103" s="5">
        <v>179.62217000000001</v>
      </c>
      <c r="D103" s="5">
        <v>231.39797999999999</v>
      </c>
      <c r="E103" s="5">
        <v>321.88828999999998</v>
      </c>
      <c r="F103" s="5">
        <v>544.37063000000001</v>
      </c>
      <c r="G103" s="5">
        <v>0</v>
      </c>
      <c r="H103" s="5">
        <v>169.392</v>
      </c>
      <c r="I103" s="5">
        <v>249.32847000000001</v>
      </c>
      <c r="J103" s="5">
        <v>348.26231999999999</v>
      </c>
      <c r="K103" s="5">
        <v>477.52735999999999</v>
      </c>
      <c r="L103" s="5">
        <v>753.07893000000001</v>
      </c>
      <c r="M103" s="5">
        <v>952.6857</v>
      </c>
    </row>
    <row r="104" spans="1:13" x14ac:dyDescent="0.25">
      <c r="A104" s="69">
        <v>42303</v>
      </c>
      <c r="B104" s="5">
        <v>139.10924</v>
      </c>
      <c r="C104" s="5">
        <v>179.65119000000001</v>
      </c>
      <c r="D104" s="5">
        <v>231.38915</v>
      </c>
      <c r="E104" s="5">
        <v>321.89960000000002</v>
      </c>
      <c r="F104" s="5">
        <v>543.64916000000005</v>
      </c>
      <c r="G104" s="5">
        <v>0</v>
      </c>
      <c r="H104" s="5">
        <v>169.46377000000001</v>
      </c>
      <c r="I104" s="5">
        <v>249.33009000000001</v>
      </c>
      <c r="J104" s="5">
        <v>348.08461999999997</v>
      </c>
      <c r="K104" s="5">
        <v>477.89828</v>
      </c>
      <c r="L104" s="5">
        <v>752.96262999999999</v>
      </c>
      <c r="M104" s="5">
        <v>952.69998999999996</v>
      </c>
    </row>
    <row r="105" spans="1:13" x14ac:dyDescent="0.25">
      <c r="A105" s="69">
        <v>42304</v>
      </c>
      <c r="B105" s="5">
        <v>139.08582000000001</v>
      </c>
      <c r="C105" s="5">
        <v>179.72216</v>
      </c>
      <c r="D105" s="5">
        <v>231.87066999999999</v>
      </c>
      <c r="E105" s="5">
        <v>322.32639999999998</v>
      </c>
      <c r="F105" s="5">
        <v>544.16188</v>
      </c>
      <c r="G105" s="5">
        <v>0</v>
      </c>
      <c r="H105" s="5">
        <v>169.49189999999999</v>
      </c>
      <c r="I105" s="5">
        <v>249.33175</v>
      </c>
      <c r="J105" s="5">
        <v>348.08521000000002</v>
      </c>
      <c r="K105" s="5">
        <v>477.89899000000003</v>
      </c>
      <c r="L105" s="5">
        <v>753.14041999999995</v>
      </c>
      <c r="M105" s="5">
        <v>952.67511999999999</v>
      </c>
    </row>
    <row r="106" spans="1:13" x14ac:dyDescent="0.25">
      <c r="A106" s="69">
        <v>42305</v>
      </c>
      <c r="B106" s="5">
        <v>139.40486000000001</v>
      </c>
      <c r="C106" s="5">
        <v>180.43453</v>
      </c>
      <c r="D106" s="5">
        <v>232.34792999999999</v>
      </c>
      <c r="E106" s="5">
        <v>323.17421000000002</v>
      </c>
      <c r="F106" s="5">
        <v>545.22535000000005</v>
      </c>
      <c r="G106" s="5">
        <v>0</v>
      </c>
      <c r="H106" s="5">
        <v>169.49485999999999</v>
      </c>
      <c r="I106" s="5">
        <v>249.42798999999999</v>
      </c>
      <c r="J106" s="5">
        <v>348.142</v>
      </c>
      <c r="K106" s="5">
        <v>480.02395000000001</v>
      </c>
      <c r="L106" s="5">
        <v>753.19772999999998</v>
      </c>
      <c r="M106" s="5">
        <v>952.74108999999999</v>
      </c>
    </row>
    <row r="107" spans="1:13" x14ac:dyDescent="0.25">
      <c r="A107" s="69">
        <v>42306</v>
      </c>
      <c r="B107" s="5">
        <v>140.13206</v>
      </c>
      <c r="C107" s="5">
        <v>181.84242</v>
      </c>
      <c r="D107" s="5">
        <v>233.44068999999999</v>
      </c>
      <c r="E107" s="5">
        <v>326.00995</v>
      </c>
      <c r="F107" s="5">
        <v>544.81461000000002</v>
      </c>
      <c r="G107" s="5">
        <v>0</v>
      </c>
      <c r="H107" s="5">
        <v>169.67372</v>
      </c>
      <c r="I107" s="5">
        <v>249.21195</v>
      </c>
      <c r="J107" s="5">
        <v>348.23644000000002</v>
      </c>
      <c r="K107" s="5">
        <v>480.25384000000003</v>
      </c>
      <c r="L107" s="5">
        <v>753.60296000000005</v>
      </c>
      <c r="M107" s="5">
        <v>953.35824000000002</v>
      </c>
    </row>
    <row r="108" spans="1:13" x14ac:dyDescent="0.25">
      <c r="A108" s="69">
        <v>42307</v>
      </c>
      <c r="B108" s="5">
        <v>142.12885</v>
      </c>
      <c r="C108" s="5">
        <v>182.81539000000001</v>
      </c>
      <c r="D108" s="5">
        <v>234.5976</v>
      </c>
      <c r="E108" s="5">
        <v>326.70136000000002</v>
      </c>
      <c r="F108" s="5">
        <v>545.16642000000002</v>
      </c>
      <c r="G108" s="5">
        <v>0</v>
      </c>
      <c r="H108" s="5">
        <v>169.37654000000001</v>
      </c>
      <c r="I108" s="5">
        <v>248.97444999999999</v>
      </c>
      <c r="J108" s="5">
        <v>347.88341000000003</v>
      </c>
      <c r="K108" s="5">
        <v>479.97095999999999</v>
      </c>
      <c r="L108" s="5">
        <v>753.88508999999999</v>
      </c>
      <c r="M108" s="5">
        <v>953.23469</v>
      </c>
    </row>
    <row r="109" spans="1:13" x14ac:dyDescent="0.25">
      <c r="A109" s="69">
        <v>42310</v>
      </c>
      <c r="B109" s="5">
        <v>141.89595</v>
      </c>
      <c r="C109" s="5">
        <v>182.42884000000001</v>
      </c>
      <c r="D109" s="5">
        <v>233.75774999999999</v>
      </c>
      <c r="E109" s="5">
        <v>325.28816</v>
      </c>
      <c r="F109" s="5">
        <v>544.72790999999995</v>
      </c>
      <c r="G109" s="5">
        <v>0</v>
      </c>
      <c r="H109" s="5">
        <v>169.53048999999999</v>
      </c>
      <c r="I109" s="5">
        <v>248.91820999999999</v>
      </c>
      <c r="J109" s="5">
        <v>347.82857999999999</v>
      </c>
      <c r="K109" s="5">
        <v>479.81493999999998</v>
      </c>
      <c r="L109" s="5">
        <v>753.88610000000006</v>
      </c>
      <c r="M109" s="5">
        <v>953.21543999999994</v>
      </c>
    </row>
    <row r="110" spans="1:13" x14ac:dyDescent="0.25">
      <c r="A110" s="69">
        <v>42311</v>
      </c>
      <c r="B110" s="5">
        <v>141.90105</v>
      </c>
      <c r="C110" s="5">
        <v>182.43715</v>
      </c>
      <c r="D110" s="5">
        <v>233.82201000000001</v>
      </c>
      <c r="E110" s="5">
        <v>325.29208</v>
      </c>
      <c r="F110" s="5">
        <v>544.73645999999997</v>
      </c>
      <c r="G110" s="5">
        <v>0</v>
      </c>
      <c r="H110" s="5">
        <v>169.54205999999999</v>
      </c>
      <c r="I110" s="5">
        <v>248.92000999999999</v>
      </c>
      <c r="J110" s="5">
        <v>347.82949000000002</v>
      </c>
      <c r="K110" s="5">
        <v>479.81733000000003</v>
      </c>
      <c r="L110" s="5">
        <v>754.08189000000004</v>
      </c>
      <c r="M110" s="5">
        <v>953.21256000000005</v>
      </c>
    </row>
    <row r="111" spans="1:13" x14ac:dyDescent="0.25">
      <c r="A111" s="69">
        <v>42312</v>
      </c>
      <c r="B111" s="5">
        <v>143.18128999999999</v>
      </c>
      <c r="C111" s="5">
        <v>182.82867999999999</v>
      </c>
      <c r="D111" s="5">
        <v>234.11668</v>
      </c>
      <c r="E111" s="5">
        <v>325.31689</v>
      </c>
      <c r="F111" s="5">
        <v>544.75841000000003</v>
      </c>
      <c r="G111" s="5">
        <v>0</v>
      </c>
      <c r="H111" s="5">
        <v>169.73027999999999</v>
      </c>
      <c r="I111" s="5">
        <v>248.92445000000001</v>
      </c>
      <c r="J111" s="5">
        <v>347.82567</v>
      </c>
      <c r="K111" s="5">
        <v>480.30622</v>
      </c>
      <c r="L111" s="5">
        <v>756.81506000000002</v>
      </c>
      <c r="M111" s="5">
        <v>953.21331999999995</v>
      </c>
    </row>
    <row r="112" spans="1:13" x14ac:dyDescent="0.25">
      <c r="A112" s="69">
        <v>42313</v>
      </c>
      <c r="B112" s="5">
        <v>143.42862</v>
      </c>
      <c r="C112" s="5">
        <v>184.06023999999999</v>
      </c>
      <c r="D112" s="5">
        <v>234.90573000000001</v>
      </c>
      <c r="E112" s="5">
        <v>325.57637999999997</v>
      </c>
      <c r="F112" s="5">
        <v>544.75746000000004</v>
      </c>
      <c r="G112" s="5">
        <v>0</v>
      </c>
      <c r="H112" s="5">
        <v>169.76312999999999</v>
      </c>
      <c r="I112" s="5">
        <v>248.79413</v>
      </c>
      <c r="J112" s="5">
        <v>347.90498000000002</v>
      </c>
      <c r="K112" s="5">
        <v>481.53307000000001</v>
      </c>
      <c r="L112" s="5">
        <v>760.32518000000005</v>
      </c>
      <c r="M112" s="5">
        <v>960.79638999999997</v>
      </c>
    </row>
    <row r="113" spans="1:13" x14ac:dyDescent="0.25">
      <c r="A113" s="69">
        <v>42314</v>
      </c>
      <c r="B113" s="5">
        <v>143.78822</v>
      </c>
      <c r="C113" s="5">
        <v>184.30511999999999</v>
      </c>
      <c r="D113" s="5">
        <v>235.29808</v>
      </c>
      <c r="E113" s="5">
        <v>325.47766999999999</v>
      </c>
      <c r="F113" s="5">
        <v>544.52140999999995</v>
      </c>
      <c r="G113" s="5">
        <v>0</v>
      </c>
      <c r="H113" s="5">
        <v>169.81217000000001</v>
      </c>
      <c r="I113" s="5">
        <v>248.76410999999999</v>
      </c>
      <c r="J113" s="5">
        <v>347.92385999999999</v>
      </c>
      <c r="K113" s="5">
        <v>481.54333000000003</v>
      </c>
      <c r="L113" s="5">
        <v>760.92601000000002</v>
      </c>
      <c r="M113" s="5">
        <v>961.98541</v>
      </c>
    </row>
    <row r="114" spans="1:13" x14ac:dyDescent="0.25">
      <c r="A114" s="69">
        <v>42317</v>
      </c>
      <c r="B114" s="5">
        <v>143.71924000000001</v>
      </c>
      <c r="C114" s="5">
        <v>184.75323</v>
      </c>
      <c r="D114" s="5">
        <v>235.26652999999999</v>
      </c>
      <c r="E114" s="5">
        <v>325.45987000000002</v>
      </c>
      <c r="F114" s="5">
        <v>544.52745000000004</v>
      </c>
      <c r="G114" s="5">
        <v>0</v>
      </c>
      <c r="H114" s="5">
        <v>173.92255</v>
      </c>
      <c r="I114" s="5">
        <v>248.73684</v>
      </c>
      <c r="J114" s="5">
        <v>348.01416</v>
      </c>
      <c r="K114" s="5">
        <v>481.63261999999997</v>
      </c>
      <c r="L114" s="5">
        <v>791.99733000000003</v>
      </c>
      <c r="M114" s="5">
        <v>976.76247999999998</v>
      </c>
    </row>
    <row r="115" spans="1:13" x14ac:dyDescent="0.25">
      <c r="A115" s="69">
        <v>42318</v>
      </c>
      <c r="B115" s="5">
        <v>143.70570000000001</v>
      </c>
      <c r="C115" s="5">
        <v>184.66076000000001</v>
      </c>
      <c r="D115" s="5">
        <v>235.16845000000001</v>
      </c>
      <c r="E115" s="5">
        <v>324.74023999999997</v>
      </c>
      <c r="F115" s="5">
        <v>543.40288999999996</v>
      </c>
      <c r="G115" s="5">
        <v>0</v>
      </c>
      <c r="H115" s="5">
        <v>173.81901999999999</v>
      </c>
      <c r="I115" s="5">
        <v>248.70542</v>
      </c>
      <c r="J115" s="5">
        <v>348.27933000000002</v>
      </c>
      <c r="K115" s="5">
        <v>482.00851</v>
      </c>
      <c r="L115" s="5">
        <v>791.70955000000004</v>
      </c>
      <c r="M115" s="5">
        <v>976.45109000000002</v>
      </c>
    </row>
    <row r="116" spans="1:13" x14ac:dyDescent="0.25">
      <c r="A116" s="69">
        <v>42320</v>
      </c>
      <c r="B116" s="5">
        <v>143.62430000000001</v>
      </c>
      <c r="C116" s="5">
        <v>184.74075999999999</v>
      </c>
      <c r="D116" s="5">
        <v>235.19085999999999</v>
      </c>
      <c r="E116" s="5">
        <v>324.89082000000002</v>
      </c>
      <c r="F116" s="5">
        <v>543.34415999999999</v>
      </c>
      <c r="G116" s="5">
        <v>0</v>
      </c>
      <c r="H116" s="5">
        <v>173.81599</v>
      </c>
      <c r="I116" s="5">
        <v>248.67224999999999</v>
      </c>
      <c r="J116" s="5">
        <v>348.28021000000001</v>
      </c>
      <c r="K116" s="5">
        <v>482.06220999999999</v>
      </c>
      <c r="L116" s="5">
        <v>792.12084000000004</v>
      </c>
      <c r="M116" s="5">
        <v>976.45705999999996</v>
      </c>
    </row>
    <row r="117" spans="1:13" x14ac:dyDescent="0.25">
      <c r="A117" s="69">
        <v>42321</v>
      </c>
      <c r="B117" s="5">
        <v>143.67198999999999</v>
      </c>
      <c r="C117" s="5">
        <v>184.75432000000001</v>
      </c>
      <c r="D117" s="5">
        <v>235.20574999999999</v>
      </c>
      <c r="E117" s="5">
        <v>324.90113000000002</v>
      </c>
      <c r="F117" s="5">
        <v>542.80570999999998</v>
      </c>
      <c r="G117" s="5">
        <v>0</v>
      </c>
      <c r="H117" s="5">
        <v>173.77776</v>
      </c>
      <c r="I117" s="5">
        <v>248.67238</v>
      </c>
      <c r="J117" s="5">
        <v>348.27978000000002</v>
      </c>
      <c r="K117" s="5">
        <v>482.16305999999997</v>
      </c>
      <c r="L117" s="5">
        <v>792.10452999999995</v>
      </c>
      <c r="M117" s="5">
        <v>976.46016999999995</v>
      </c>
    </row>
    <row r="118" spans="1:13" x14ac:dyDescent="0.25">
      <c r="A118" s="69">
        <v>42324</v>
      </c>
      <c r="B118" s="5">
        <v>143.59435999999999</v>
      </c>
      <c r="C118" s="5">
        <v>184.83326</v>
      </c>
      <c r="D118" s="5">
        <v>235.26446000000001</v>
      </c>
      <c r="E118" s="5">
        <v>325.41541999999998</v>
      </c>
      <c r="F118" s="5">
        <v>543.47730000000001</v>
      </c>
      <c r="G118" s="5">
        <v>0</v>
      </c>
      <c r="H118" s="5">
        <v>173.82276999999999</v>
      </c>
      <c r="I118" s="5">
        <v>248.67461</v>
      </c>
      <c r="J118" s="5">
        <v>348.60948999999999</v>
      </c>
      <c r="K118" s="5">
        <v>482.19636000000003</v>
      </c>
      <c r="L118" s="5">
        <v>792.05002000000002</v>
      </c>
      <c r="M118" s="5">
        <v>976.45686999999998</v>
      </c>
    </row>
    <row r="119" spans="1:13" x14ac:dyDescent="0.25">
      <c r="A119" s="69">
        <v>42325</v>
      </c>
      <c r="B119" s="5">
        <v>143.67963</v>
      </c>
      <c r="C119" s="5">
        <v>188.64521999999999</v>
      </c>
      <c r="D119" s="5">
        <v>238.82633000000001</v>
      </c>
      <c r="E119" s="5">
        <v>327.32011</v>
      </c>
      <c r="F119" s="5">
        <v>543.27755999999999</v>
      </c>
      <c r="G119" s="5">
        <v>0</v>
      </c>
      <c r="H119" s="5">
        <v>173.84323000000001</v>
      </c>
      <c r="I119" s="5">
        <v>248.67777000000001</v>
      </c>
      <c r="J119" s="5">
        <v>348.62144999999998</v>
      </c>
      <c r="K119" s="5">
        <v>482.30381</v>
      </c>
      <c r="L119" s="5">
        <v>792.09347000000002</v>
      </c>
      <c r="M119" s="5">
        <v>976.48321999999996</v>
      </c>
    </row>
    <row r="120" spans="1:13" x14ac:dyDescent="0.25">
      <c r="A120" s="69">
        <v>42326</v>
      </c>
      <c r="B120" s="5">
        <v>144.06952000000001</v>
      </c>
      <c r="C120" s="5">
        <v>189.34424000000001</v>
      </c>
      <c r="D120" s="5">
        <v>240.32969</v>
      </c>
      <c r="E120" s="5">
        <v>328.50984999999997</v>
      </c>
      <c r="F120" s="5">
        <v>544.08356000000003</v>
      </c>
      <c r="G120" s="5">
        <v>0</v>
      </c>
      <c r="H120" s="5">
        <v>173.83404999999999</v>
      </c>
      <c r="I120" s="5">
        <v>248.70115999999999</v>
      </c>
      <c r="J120" s="5">
        <v>348.67784</v>
      </c>
      <c r="K120" s="5">
        <v>482.22005000000001</v>
      </c>
      <c r="L120" s="5">
        <v>792.4171</v>
      </c>
      <c r="M120" s="5">
        <v>976.52634999999998</v>
      </c>
    </row>
    <row r="121" spans="1:13" x14ac:dyDescent="0.25">
      <c r="A121" s="69">
        <v>42327</v>
      </c>
      <c r="B121" s="5">
        <v>144.12028000000001</v>
      </c>
      <c r="C121" s="5">
        <v>188.67368999999999</v>
      </c>
      <c r="D121" s="5">
        <v>240.16403</v>
      </c>
      <c r="E121" s="5">
        <v>328.60099000000002</v>
      </c>
      <c r="F121" s="5">
        <v>544.09522000000004</v>
      </c>
      <c r="G121" s="5">
        <v>0</v>
      </c>
      <c r="H121" s="5">
        <v>174.38258999999999</v>
      </c>
      <c r="I121" s="5">
        <v>248.37058999999999</v>
      </c>
      <c r="J121" s="5">
        <v>348.15017</v>
      </c>
      <c r="K121" s="5">
        <v>511.68702000000002</v>
      </c>
      <c r="L121" s="5">
        <v>819.27426000000003</v>
      </c>
      <c r="M121" s="5">
        <v>1020.10487</v>
      </c>
    </row>
    <row r="122" spans="1:13" x14ac:dyDescent="0.25">
      <c r="A122" s="69">
        <v>42328</v>
      </c>
      <c r="B122" s="5">
        <v>144.36304999999999</v>
      </c>
      <c r="C122" s="5">
        <v>188.8194</v>
      </c>
      <c r="D122" s="5">
        <v>240.98799</v>
      </c>
      <c r="E122" s="5">
        <v>328.78244000000001</v>
      </c>
      <c r="F122" s="5">
        <v>544.63334999999995</v>
      </c>
      <c r="G122" s="5">
        <v>0</v>
      </c>
      <c r="H122" s="5">
        <v>174.42655999999999</v>
      </c>
      <c r="I122" s="5">
        <v>248.38503</v>
      </c>
      <c r="J122" s="5">
        <v>348.37383</v>
      </c>
      <c r="K122" s="5">
        <v>512.27728000000002</v>
      </c>
      <c r="L122" s="5">
        <v>818.71045000000004</v>
      </c>
      <c r="M122" s="5">
        <v>1022.1298</v>
      </c>
    </row>
    <row r="123" spans="1:13" x14ac:dyDescent="0.25">
      <c r="A123" s="69">
        <v>42331</v>
      </c>
      <c r="B123" s="5">
        <v>144.61247</v>
      </c>
      <c r="C123" s="5">
        <v>188.87448000000001</v>
      </c>
      <c r="D123" s="5">
        <v>240.52726000000001</v>
      </c>
      <c r="E123" s="5">
        <v>328.79061999999999</v>
      </c>
      <c r="F123" s="5">
        <v>545.92242999999996</v>
      </c>
      <c r="G123" s="5">
        <v>0</v>
      </c>
      <c r="H123" s="5">
        <v>174.43216000000001</v>
      </c>
      <c r="I123" s="5">
        <v>248.34708000000001</v>
      </c>
      <c r="J123" s="5">
        <v>348.32107000000002</v>
      </c>
      <c r="K123" s="5">
        <v>511.47987999999998</v>
      </c>
      <c r="L123" s="5">
        <v>818.12765000000002</v>
      </c>
      <c r="M123" s="5">
        <v>1022.13958</v>
      </c>
    </row>
    <row r="124" spans="1:13" x14ac:dyDescent="0.25">
      <c r="A124" s="69">
        <v>42332</v>
      </c>
      <c r="B124" s="5">
        <v>152.24758</v>
      </c>
      <c r="C124" s="5">
        <v>200.49934999999999</v>
      </c>
      <c r="D124" s="5">
        <v>253.43735000000001</v>
      </c>
      <c r="E124" s="5">
        <v>335.30063999999999</v>
      </c>
      <c r="F124" s="5">
        <v>556.44970999999998</v>
      </c>
      <c r="G124" s="5">
        <v>0</v>
      </c>
      <c r="H124" s="5">
        <v>174.36824999999999</v>
      </c>
      <c r="I124" s="5">
        <v>248.33356000000001</v>
      </c>
      <c r="J124" s="5">
        <v>348.16953000000001</v>
      </c>
      <c r="K124" s="5">
        <v>511.28471000000002</v>
      </c>
      <c r="L124" s="5">
        <v>818.06421999999998</v>
      </c>
      <c r="M124" s="5">
        <v>1022.2225100000001</v>
      </c>
    </row>
    <row r="125" spans="1:13" x14ac:dyDescent="0.25">
      <c r="A125" s="69">
        <v>42333</v>
      </c>
      <c r="B125" s="5">
        <v>152.32969</v>
      </c>
      <c r="C125" s="5">
        <v>200.57199</v>
      </c>
      <c r="D125" s="5">
        <v>253.28343000000001</v>
      </c>
      <c r="E125" s="5">
        <v>336.49417</v>
      </c>
      <c r="F125" s="5">
        <v>556.53498999999999</v>
      </c>
      <c r="G125" s="5">
        <v>0</v>
      </c>
      <c r="H125" s="5">
        <v>174.40458000000001</v>
      </c>
      <c r="I125" s="5">
        <v>248.38469000000001</v>
      </c>
      <c r="J125" s="5">
        <v>348.23126000000002</v>
      </c>
      <c r="K125" s="5">
        <v>511.48558000000003</v>
      </c>
      <c r="L125" s="5">
        <v>818.09675000000004</v>
      </c>
      <c r="M125" s="5">
        <v>1022.29598</v>
      </c>
    </row>
    <row r="126" spans="1:13" x14ac:dyDescent="0.25">
      <c r="A126" s="69">
        <v>42335</v>
      </c>
      <c r="B126" s="5">
        <v>152.33010999999999</v>
      </c>
      <c r="C126" s="5">
        <v>200.84066999999999</v>
      </c>
      <c r="D126" s="5">
        <v>252.72776999999999</v>
      </c>
      <c r="E126" s="5">
        <v>336.31470000000002</v>
      </c>
      <c r="F126" s="5">
        <v>555.89567999999997</v>
      </c>
      <c r="G126" s="5">
        <v>0</v>
      </c>
      <c r="H126" s="5">
        <v>174.39769000000001</v>
      </c>
      <c r="I126" s="5">
        <v>248.38257999999999</v>
      </c>
      <c r="J126" s="5">
        <v>348.23567000000003</v>
      </c>
      <c r="K126" s="5">
        <v>511.39400000000001</v>
      </c>
      <c r="L126" s="5">
        <v>818.16708000000006</v>
      </c>
      <c r="M126" s="5">
        <v>1022.43932</v>
      </c>
    </row>
    <row r="127" spans="1:13" x14ac:dyDescent="0.25">
      <c r="A127" s="69">
        <v>42338</v>
      </c>
      <c r="B127" s="5">
        <v>152.34869</v>
      </c>
      <c r="C127" s="5">
        <v>200.85108</v>
      </c>
      <c r="D127" s="5">
        <v>252.73596000000001</v>
      </c>
      <c r="E127" s="5">
        <v>336.32661999999999</v>
      </c>
      <c r="F127" s="5">
        <v>555.89832000000001</v>
      </c>
      <c r="G127" s="5">
        <v>0</v>
      </c>
      <c r="H127" s="5">
        <v>173.80235999999999</v>
      </c>
      <c r="I127" s="5">
        <v>247.99403000000001</v>
      </c>
      <c r="J127" s="5">
        <v>347.88763</v>
      </c>
      <c r="K127" s="5">
        <v>510.51585</v>
      </c>
      <c r="L127" s="5">
        <v>816.94790999999998</v>
      </c>
      <c r="M127" s="5">
        <v>1019.97088</v>
      </c>
    </row>
    <row r="128" spans="1:13" x14ac:dyDescent="0.25">
      <c r="A128" s="69">
        <v>42339</v>
      </c>
      <c r="B128" s="5">
        <v>152.34055000000001</v>
      </c>
      <c r="C128" s="5">
        <v>200.86071999999999</v>
      </c>
      <c r="D128" s="5">
        <v>252.76186999999999</v>
      </c>
      <c r="E128" s="5">
        <v>336.04055</v>
      </c>
      <c r="F128" s="5">
        <v>556.08788000000004</v>
      </c>
      <c r="G128" s="5">
        <v>0</v>
      </c>
      <c r="H128" s="5">
        <v>173.79505</v>
      </c>
      <c r="I128" s="5">
        <v>247.99290999999999</v>
      </c>
      <c r="J128" s="5">
        <v>347.91131999999999</v>
      </c>
      <c r="K128" s="5">
        <v>510.45589000000001</v>
      </c>
      <c r="L128" s="5">
        <v>816.66827999999998</v>
      </c>
      <c r="M128" s="5">
        <v>1020.68405</v>
      </c>
    </row>
    <row r="129" spans="1:13" x14ac:dyDescent="0.25">
      <c r="A129" s="69">
        <v>42340</v>
      </c>
      <c r="B129" s="5">
        <v>151.56356</v>
      </c>
      <c r="C129" s="5">
        <v>201.19288</v>
      </c>
      <c r="D129" s="5">
        <v>252.95483999999999</v>
      </c>
      <c r="E129" s="5">
        <v>336.13267000000002</v>
      </c>
      <c r="F129" s="5">
        <v>556.24176999999997</v>
      </c>
      <c r="G129" s="5">
        <v>0</v>
      </c>
      <c r="H129" s="5">
        <v>173.83609999999999</v>
      </c>
      <c r="I129" s="5">
        <v>247.96835999999999</v>
      </c>
      <c r="J129" s="5">
        <v>347.92108000000002</v>
      </c>
      <c r="K129" s="5">
        <v>510.40337</v>
      </c>
      <c r="L129" s="5">
        <v>816.87546999999995</v>
      </c>
      <c r="M129" s="5">
        <v>1021.22596</v>
      </c>
    </row>
    <row r="130" spans="1:13" x14ac:dyDescent="0.25">
      <c r="A130" s="69">
        <v>42341</v>
      </c>
      <c r="B130" s="5">
        <v>151.59333000000001</v>
      </c>
      <c r="C130" s="5">
        <v>201.20196999999999</v>
      </c>
      <c r="D130" s="5">
        <v>252.89515</v>
      </c>
      <c r="E130" s="5">
        <v>336.1139</v>
      </c>
      <c r="F130" s="5">
        <v>556.48526000000004</v>
      </c>
      <c r="G130" s="5">
        <v>0</v>
      </c>
      <c r="H130" s="5">
        <v>173.80766</v>
      </c>
      <c r="I130" s="5">
        <v>247.99159</v>
      </c>
      <c r="J130" s="5">
        <v>347.92500999999999</v>
      </c>
      <c r="K130" s="5">
        <v>510.80306999999999</v>
      </c>
      <c r="L130" s="5">
        <v>819.57587999999998</v>
      </c>
      <c r="M130" s="5">
        <v>1027.67752</v>
      </c>
    </row>
    <row r="131" spans="1:13" x14ac:dyDescent="0.25">
      <c r="A131" s="69">
        <v>42342</v>
      </c>
      <c r="B131" s="5">
        <v>151.59866</v>
      </c>
      <c r="C131" s="5">
        <v>201.21411000000001</v>
      </c>
      <c r="D131" s="5">
        <v>252.90513000000001</v>
      </c>
      <c r="E131" s="5">
        <v>336.13260000000002</v>
      </c>
      <c r="F131" s="5">
        <v>556.50653</v>
      </c>
      <c r="G131" s="5">
        <v>0</v>
      </c>
      <c r="H131" s="5">
        <v>173.80728999999999</v>
      </c>
      <c r="I131" s="5">
        <v>247.99167</v>
      </c>
      <c r="J131" s="5">
        <v>347.92597000000001</v>
      </c>
      <c r="K131" s="5">
        <v>512.81146999999999</v>
      </c>
      <c r="L131" s="5">
        <v>823.73728000000006</v>
      </c>
      <c r="M131" s="5">
        <v>1027.58438</v>
      </c>
    </row>
    <row r="132" spans="1:13" x14ac:dyDescent="0.25">
      <c r="A132" s="69">
        <v>42345</v>
      </c>
      <c r="B132" s="5">
        <v>151.65778</v>
      </c>
      <c r="C132" s="5">
        <v>201.18639999999999</v>
      </c>
      <c r="D132" s="5">
        <v>252.92296999999999</v>
      </c>
      <c r="E132" s="5">
        <v>336.14125999999999</v>
      </c>
      <c r="F132" s="5">
        <v>556.51116000000002</v>
      </c>
      <c r="G132" s="5">
        <v>0</v>
      </c>
      <c r="H132" s="5">
        <v>173.80719999999999</v>
      </c>
      <c r="I132" s="5">
        <v>247.99213</v>
      </c>
      <c r="J132" s="5">
        <v>347.88852000000003</v>
      </c>
      <c r="K132" s="5">
        <v>512.84938</v>
      </c>
      <c r="L132" s="5">
        <v>823.71699000000001</v>
      </c>
      <c r="M132" s="5">
        <v>1028.3819900000001</v>
      </c>
    </row>
    <row r="133" spans="1:13" x14ac:dyDescent="0.25">
      <c r="A133" s="69">
        <v>42346</v>
      </c>
      <c r="B133" s="5">
        <v>151.73833999999999</v>
      </c>
      <c r="C133" s="5">
        <v>201.19006999999999</v>
      </c>
      <c r="D133" s="5">
        <v>252.91919999999999</v>
      </c>
      <c r="E133" s="5">
        <v>336.15120999999999</v>
      </c>
      <c r="F133" s="5">
        <v>556.53341</v>
      </c>
      <c r="G133" s="5">
        <v>0</v>
      </c>
      <c r="H133" s="5">
        <v>173.80350999999999</v>
      </c>
      <c r="I133" s="5">
        <v>248.04545999999999</v>
      </c>
      <c r="J133" s="5">
        <v>348.02782999999999</v>
      </c>
      <c r="K133" s="5">
        <v>512.84194000000002</v>
      </c>
      <c r="L133" s="5">
        <v>823.80439999999999</v>
      </c>
      <c r="M133" s="5">
        <v>1028.3915199999999</v>
      </c>
    </row>
    <row r="134" spans="1:13" x14ac:dyDescent="0.25">
      <c r="A134" s="69">
        <v>42347</v>
      </c>
      <c r="B134" s="5">
        <v>151.72008</v>
      </c>
      <c r="C134" s="5">
        <v>201.21997999999999</v>
      </c>
      <c r="D134" s="5">
        <v>252.94451000000001</v>
      </c>
      <c r="E134" s="5">
        <v>336.17165</v>
      </c>
      <c r="F134" s="5">
        <v>556.54938000000004</v>
      </c>
      <c r="G134" s="5">
        <v>0</v>
      </c>
      <c r="H134" s="5">
        <v>173.73871</v>
      </c>
      <c r="I134" s="5">
        <v>248.04677000000001</v>
      </c>
      <c r="J134" s="5">
        <v>348.029</v>
      </c>
      <c r="K134" s="5">
        <v>512.90470000000005</v>
      </c>
      <c r="L134" s="5">
        <v>823.63874999999996</v>
      </c>
      <c r="M134" s="5">
        <v>1028.39895</v>
      </c>
    </row>
    <row r="135" spans="1:13" x14ac:dyDescent="0.25">
      <c r="A135" s="69">
        <v>42348</v>
      </c>
      <c r="B135" s="5">
        <v>151.68432999999999</v>
      </c>
      <c r="C135" s="5">
        <v>201.22354999999999</v>
      </c>
      <c r="D135" s="5">
        <v>252.94550000000001</v>
      </c>
      <c r="E135" s="5">
        <v>335.98295000000002</v>
      </c>
      <c r="F135" s="5">
        <v>556.55150000000003</v>
      </c>
      <c r="G135" s="5">
        <v>0</v>
      </c>
      <c r="H135" s="5">
        <v>173.77239</v>
      </c>
      <c r="I135" s="5">
        <v>248.04805999999999</v>
      </c>
      <c r="J135" s="5">
        <v>348.05569000000003</v>
      </c>
      <c r="K135" s="5">
        <v>512.85559000000001</v>
      </c>
      <c r="L135" s="5">
        <v>823.63028999999995</v>
      </c>
      <c r="M135" s="5">
        <v>1028.4129800000001</v>
      </c>
    </row>
    <row r="136" spans="1:13" x14ac:dyDescent="0.25">
      <c r="A136" s="69">
        <v>42349</v>
      </c>
      <c r="B136" s="5">
        <v>151.68948</v>
      </c>
      <c r="C136" s="5">
        <v>201.23765</v>
      </c>
      <c r="D136" s="5">
        <v>253.44140999999999</v>
      </c>
      <c r="E136" s="5">
        <v>336.59629000000001</v>
      </c>
      <c r="F136" s="5">
        <v>557.73672999999997</v>
      </c>
      <c r="G136" s="5">
        <v>0</v>
      </c>
      <c r="H136" s="5">
        <v>173.77551</v>
      </c>
      <c r="I136" s="5">
        <v>248.19434000000001</v>
      </c>
      <c r="J136" s="5">
        <v>348.01573999999999</v>
      </c>
      <c r="K136" s="5">
        <v>512.86757</v>
      </c>
      <c r="L136" s="5">
        <v>823.54280000000006</v>
      </c>
      <c r="M136" s="5">
        <v>1028.41255</v>
      </c>
    </row>
    <row r="137" spans="1:13" x14ac:dyDescent="0.25">
      <c r="A137" s="69">
        <v>42352</v>
      </c>
      <c r="B137" s="5">
        <v>156.51122000000001</v>
      </c>
      <c r="C137" s="5">
        <v>205.24250000000001</v>
      </c>
      <c r="D137" s="5">
        <v>258.23604999999998</v>
      </c>
      <c r="E137" s="5">
        <v>345.71296999999998</v>
      </c>
      <c r="F137" s="5">
        <v>571.56150000000002</v>
      </c>
      <c r="G137" s="5">
        <v>0</v>
      </c>
      <c r="H137" s="5">
        <v>173.80902</v>
      </c>
      <c r="I137" s="5">
        <v>252.26356999999999</v>
      </c>
      <c r="J137" s="5">
        <v>351.84735000000001</v>
      </c>
      <c r="K137" s="5">
        <v>522.46442999999999</v>
      </c>
      <c r="L137" s="5">
        <v>839.76534000000004</v>
      </c>
      <c r="M137" s="5">
        <v>1050.32412</v>
      </c>
    </row>
    <row r="138" spans="1:13" x14ac:dyDescent="0.25">
      <c r="A138" s="69">
        <v>42353</v>
      </c>
      <c r="B138" s="5">
        <v>156.60003</v>
      </c>
      <c r="C138" s="5">
        <v>207.52278999999999</v>
      </c>
      <c r="D138" s="5">
        <v>259.99209999999999</v>
      </c>
      <c r="E138" s="5">
        <v>347.87148000000002</v>
      </c>
      <c r="F138" s="5">
        <v>571.81925000000001</v>
      </c>
      <c r="G138" s="5">
        <v>0</v>
      </c>
      <c r="H138" s="5">
        <v>173.89914999999999</v>
      </c>
      <c r="I138" s="5">
        <v>252.25689</v>
      </c>
      <c r="J138" s="5">
        <v>351.85329000000002</v>
      </c>
      <c r="K138" s="5">
        <v>522.69511</v>
      </c>
      <c r="L138" s="5">
        <v>840.02952000000005</v>
      </c>
      <c r="M138" s="5">
        <v>1049.90617</v>
      </c>
    </row>
    <row r="139" spans="1:13" x14ac:dyDescent="0.25">
      <c r="A139" s="69">
        <v>42354</v>
      </c>
      <c r="B139" s="5">
        <v>156.66783000000001</v>
      </c>
      <c r="C139" s="5">
        <v>207.70504</v>
      </c>
      <c r="D139" s="5">
        <v>259.84026999999998</v>
      </c>
      <c r="E139" s="5">
        <v>348.96048999999999</v>
      </c>
      <c r="F139" s="5">
        <v>571.82352000000003</v>
      </c>
      <c r="G139" s="5">
        <v>0</v>
      </c>
      <c r="H139" s="5">
        <v>173.95941999999999</v>
      </c>
      <c r="I139" s="5">
        <v>252.26777999999999</v>
      </c>
      <c r="J139" s="5">
        <v>351.90672000000001</v>
      </c>
      <c r="K139" s="5">
        <v>522.84742000000006</v>
      </c>
      <c r="L139" s="5">
        <v>840.39016000000004</v>
      </c>
      <c r="M139" s="5">
        <v>1049.9040199999999</v>
      </c>
    </row>
    <row r="140" spans="1:13" x14ac:dyDescent="0.25">
      <c r="A140" s="69">
        <v>42355</v>
      </c>
      <c r="B140" s="5">
        <v>156.67829</v>
      </c>
      <c r="C140" s="5">
        <v>207.75801999999999</v>
      </c>
      <c r="D140" s="5">
        <v>259.87545</v>
      </c>
      <c r="E140" s="5">
        <v>348.98674999999997</v>
      </c>
      <c r="F140" s="5">
        <v>571.84519</v>
      </c>
      <c r="G140" s="5">
        <v>0</v>
      </c>
      <c r="H140" s="5">
        <v>173.96163999999999</v>
      </c>
      <c r="I140" s="5">
        <v>252.26958999999999</v>
      </c>
      <c r="J140" s="5">
        <v>351.83848999999998</v>
      </c>
      <c r="K140" s="5">
        <v>522.85258999999996</v>
      </c>
      <c r="L140" s="5">
        <v>840.67236000000003</v>
      </c>
      <c r="M140" s="5">
        <v>1050.15789</v>
      </c>
    </row>
    <row r="141" spans="1:13" x14ac:dyDescent="0.25">
      <c r="A141" s="69">
        <v>42356</v>
      </c>
      <c r="B141" s="5">
        <v>157.44288</v>
      </c>
      <c r="C141" s="5">
        <v>208.44167999999999</v>
      </c>
      <c r="D141" s="5">
        <v>260.27514000000002</v>
      </c>
      <c r="E141" s="5">
        <v>349.14886000000001</v>
      </c>
      <c r="F141" s="5">
        <v>572.19443000000001</v>
      </c>
      <c r="G141" s="5">
        <v>0</v>
      </c>
      <c r="H141" s="5">
        <v>176.21337</v>
      </c>
      <c r="I141" s="5">
        <v>268.83202999999997</v>
      </c>
      <c r="J141" s="5">
        <v>363.46605</v>
      </c>
      <c r="K141" s="5">
        <v>523.18763000000001</v>
      </c>
      <c r="L141" s="5">
        <v>920.17827999999997</v>
      </c>
      <c r="M141" s="5">
        <v>1180.2344499999999</v>
      </c>
    </row>
    <row r="142" spans="1:13" x14ac:dyDescent="0.25">
      <c r="A142" s="69">
        <v>42359</v>
      </c>
      <c r="B142" s="5">
        <v>157.53104999999999</v>
      </c>
      <c r="C142" s="5">
        <v>208.39407</v>
      </c>
      <c r="D142" s="5">
        <v>259.99936000000002</v>
      </c>
      <c r="E142" s="5">
        <v>348.92811999999998</v>
      </c>
      <c r="F142" s="5">
        <v>572.22594000000004</v>
      </c>
      <c r="G142" s="5">
        <v>0</v>
      </c>
      <c r="H142" s="5">
        <v>176.28088</v>
      </c>
      <c r="I142" s="5">
        <v>268.83670000000001</v>
      </c>
      <c r="J142" s="5">
        <v>363.62571000000003</v>
      </c>
      <c r="K142" s="5">
        <v>523.80053999999996</v>
      </c>
      <c r="L142" s="5">
        <v>919.61800000000005</v>
      </c>
      <c r="M142" s="5">
        <v>1182.92472</v>
      </c>
    </row>
    <row r="143" spans="1:13" x14ac:dyDescent="0.25">
      <c r="A143" s="69">
        <v>42360</v>
      </c>
      <c r="B143" s="5">
        <v>157.41874000000001</v>
      </c>
      <c r="C143" s="5">
        <v>208.45051000000001</v>
      </c>
      <c r="D143" s="5">
        <v>260.05909000000003</v>
      </c>
      <c r="E143" s="5">
        <v>349.00599999999997</v>
      </c>
      <c r="F143" s="5">
        <v>572.33501000000001</v>
      </c>
      <c r="G143" s="5">
        <v>0</v>
      </c>
      <c r="H143" s="5">
        <v>176.27898999999999</v>
      </c>
      <c r="I143" s="5">
        <v>268.84102000000001</v>
      </c>
      <c r="J143" s="5">
        <v>363.62975</v>
      </c>
      <c r="K143" s="5">
        <v>524.01158999999996</v>
      </c>
      <c r="L143" s="5">
        <v>919.36996999999997</v>
      </c>
      <c r="M143" s="5">
        <v>1182.9670799999999</v>
      </c>
    </row>
    <row r="144" spans="1:13" x14ac:dyDescent="0.25">
      <c r="A144" s="69">
        <v>42361</v>
      </c>
      <c r="B144" s="5">
        <v>157.47001</v>
      </c>
      <c r="C144" s="5">
        <v>208.50051999999999</v>
      </c>
      <c r="D144" s="5">
        <v>260.14735000000002</v>
      </c>
      <c r="E144" s="5">
        <v>349.06216000000001</v>
      </c>
      <c r="F144" s="5">
        <v>572.44956000000002</v>
      </c>
      <c r="G144" s="5">
        <v>0</v>
      </c>
      <c r="H144" s="5">
        <v>176.19219000000001</v>
      </c>
      <c r="I144" s="5">
        <v>267.28969000000001</v>
      </c>
      <c r="J144" s="5">
        <v>363.53438999999997</v>
      </c>
      <c r="K144" s="5">
        <v>551.12599</v>
      </c>
      <c r="L144" s="5">
        <v>919.14603999999997</v>
      </c>
      <c r="M144" s="5">
        <v>1185.19784</v>
      </c>
    </row>
    <row r="145" spans="1:13" x14ac:dyDescent="0.25">
      <c r="A145" s="69">
        <v>42362</v>
      </c>
      <c r="B145" s="5">
        <v>156.98806999999999</v>
      </c>
      <c r="C145" s="5">
        <v>208.56925000000001</v>
      </c>
      <c r="D145" s="5">
        <v>260.25536</v>
      </c>
      <c r="E145" s="5">
        <v>349.55534999999998</v>
      </c>
      <c r="F145" s="5">
        <v>575.59142999999995</v>
      </c>
      <c r="G145" s="5">
        <v>0</v>
      </c>
      <c r="H145" s="5">
        <v>176.19316000000001</v>
      </c>
      <c r="I145" s="5">
        <v>267.29138</v>
      </c>
      <c r="J145" s="5">
        <v>362.87227999999999</v>
      </c>
      <c r="K145" s="5">
        <v>551.49311999999998</v>
      </c>
      <c r="L145" s="5">
        <v>919.32695000000001</v>
      </c>
      <c r="M145" s="5">
        <v>1185.2165</v>
      </c>
    </row>
    <row r="146" spans="1:13" x14ac:dyDescent="0.25">
      <c r="A146" s="69">
        <v>42366</v>
      </c>
      <c r="B146" s="5">
        <v>157.02030999999999</v>
      </c>
      <c r="C146" s="5">
        <v>208.58661000000001</v>
      </c>
      <c r="D146" s="5">
        <v>260.31441000000001</v>
      </c>
      <c r="E146" s="5">
        <v>349.57317</v>
      </c>
      <c r="F146" s="5">
        <v>575.62724000000003</v>
      </c>
      <c r="G146" s="5">
        <v>0</v>
      </c>
      <c r="H146" s="5">
        <v>176.19354000000001</v>
      </c>
      <c r="I146" s="5">
        <v>267.29214000000002</v>
      </c>
      <c r="J146" s="5">
        <v>362.90485999999999</v>
      </c>
      <c r="K146" s="5">
        <v>551.39711</v>
      </c>
      <c r="L146" s="5">
        <v>919.13385000000005</v>
      </c>
      <c r="M146" s="5">
        <v>1185.2505100000001</v>
      </c>
    </row>
    <row r="147" spans="1:13" x14ac:dyDescent="0.25">
      <c r="A147" s="69">
        <v>42367</v>
      </c>
      <c r="B147" s="5">
        <v>157.04807</v>
      </c>
      <c r="C147" s="5">
        <v>208.64619999999999</v>
      </c>
      <c r="D147" s="5">
        <v>260.33947000000001</v>
      </c>
      <c r="E147" s="5">
        <v>349.62277999999998</v>
      </c>
      <c r="F147" s="5">
        <v>575.61497999999995</v>
      </c>
      <c r="G147" s="5">
        <v>0</v>
      </c>
      <c r="H147" s="5">
        <v>176.19470000000001</v>
      </c>
      <c r="I147" s="5">
        <v>267.28910999999999</v>
      </c>
      <c r="J147" s="5">
        <v>362.84960000000001</v>
      </c>
      <c r="K147" s="5">
        <v>551.35478999999998</v>
      </c>
      <c r="L147" s="5">
        <v>919.11436000000003</v>
      </c>
      <c r="M147" s="5">
        <v>1185.30134</v>
      </c>
    </row>
    <row r="148" spans="1:13" x14ac:dyDescent="0.25">
      <c r="A148" s="69">
        <v>42368</v>
      </c>
      <c r="B148" s="5">
        <v>157.05618000000001</v>
      </c>
      <c r="C148" s="5">
        <v>208.66392999999999</v>
      </c>
      <c r="D148" s="5">
        <v>260.34856000000002</v>
      </c>
      <c r="E148" s="5">
        <v>349.5258</v>
      </c>
      <c r="F148" s="5">
        <v>575.64236000000005</v>
      </c>
      <c r="G148" s="5">
        <v>0</v>
      </c>
      <c r="H148" s="5">
        <v>176.19506999999999</v>
      </c>
      <c r="I148" s="5">
        <v>266.57632000000001</v>
      </c>
      <c r="J148" s="5">
        <v>362.93525</v>
      </c>
      <c r="K148" s="5">
        <v>551.29463999999996</v>
      </c>
      <c r="L148" s="5">
        <v>919.09742000000006</v>
      </c>
      <c r="M148" s="5">
        <v>1185.3091199999999</v>
      </c>
    </row>
    <row r="149" spans="1:13" x14ac:dyDescent="0.25">
      <c r="A149" s="69">
        <v>42369</v>
      </c>
      <c r="B149" s="5">
        <v>157.10432</v>
      </c>
      <c r="C149" s="5">
        <v>208.72751</v>
      </c>
      <c r="D149" s="5">
        <v>260.33172999999999</v>
      </c>
      <c r="E149" s="5">
        <v>349.54002000000003</v>
      </c>
      <c r="F149" s="5">
        <v>575.70061999999996</v>
      </c>
      <c r="G149" s="5">
        <v>0</v>
      </c>
      <c r="H149" s="5">
        <v>175.67887999999999</v>
      </c>
      <c r="I149" s="5">
        <v>266.29957000000002</v>
      </c>
      <c r="J149" s="5">
        <v>362.72172999999998</v>
      </c>
      <c r="K149" s="5">
        <v>549.79331999999999</v>
      </c>
      <c r="L149" s="5">
        <v>915.25256999999999</v>
      </c>
      <c r="M149" s="5">
        <v>1177.39579</v>
      </c>
    </row>
    <row r="150" spans="1:13" x14ac:dyDescent="0.25">
      <c r="A150" s="69">
        <v>42373</v>
      </c>
      <c r="B150" s="5">
        <v>157.08814000000001</v>
      </c>
      <c r="C150" s="5">
        <v>208.74746999999999</v>
      </c>
      <c r="D150" s="5">
        <v>260.35482999999999</v>
      </c>
      <c r="E150" s="5">
        <v>349.56256999999999</v>
      </c>
      <c r="F150" s="5">
        <v>575.72050999999999</v>
      </c>
      <c r="G150" s="5">
        <v>0</v>
      </c>
      <c r="H150" s="5">
        <v>177.33497</v>
      </c>
      <c r="I150" s="5">
        <v>269.53169000000003</v>
      </c>
      <c r="J150" s="5">
        <v>367.42883</v>
      </c>
      <c r="K150" s="5">
        <v>556.72132999999997</v>
      </c>
      <c r="L150" s="5">
        <v>927.43080999999995</v>
      </c>
      <c r="M150" s="5">
        <v>1195.3477700000001</v>
      </c>
    </row>
    <row r="151" spans="1:13" x14ac:dyDescent="0.25">
      <c r="A151" s="69">
        <v>42374</v>
      </c>
      <c r="B151" s="5">
        <v>157.09392</v>
      </c>
      <c r="C151" s="5">
        <v>208.75982999999999</v>
      </c>
      <c r="D151" s="5">
        <v>260.36691999999999</v>
      </c>
      <c r="E151" s="5">
        <v>349.58192000000003</v>
      </c>
      <c r="F151" s="5">
        <v>577.19965000000002</v>
      </c>
      <c r="G151" s="5">
        <v>0</v>
      </c>
      <c r="H151" s="5">
        <v>177.35738000000001</v>
      </c>
      <c r="I151" s="5">
        <v>269.54334999999998</v>
      </c>
      <c r="J151" s="5">
        <v>367.43128000000002</v>
      </c>
      <c r="K151" s="5">
        <v>556.54384000000005</v>
      </c>
      <c r="L151" s="5">
        <v>925.22951999999998</v>
      </c>
      <c r="M151" s="5">
        <v>1193.37997</v>
      </c>
    </row>
    <row r="152" spans="1:13" x14ac:dyDescent="0.25">
      <c r="A152" s="69">
        <v>42375</v>
      </c>
      <c r="B152" s="5">
        <v>156.37853000000001</v>
      </c>
      <c r="C152" s="5">
        <v>207.94206</v>
      </c>
      <c r="D152" s="5">
        <v>260.40334000000001</v>
      </c>
      <c r="E152" s="5">
        <v>349.63535999999999</v>
      </c>
      <c r="F152" s="5">
        <v>577.21232999999995</v>
      </c>
      <c r="G152" s="5">
        <v>0</v>
      </c>
      <c r="H152" s="5">
        <v>177.30503999999999</v>
      </c>
      <c r="I152" s="5">
        <v>269.54948000000002</v>
      </c>
      <c r="J152" s="5">
        <v>367.45137</v>
      </c>
      <c r="K152" s="5">
        <v>556.27399000000003</v>
      </c>
      <c r="L152" s="5">
        <v>924.3913</v>
      </c>
      <c r="M152" s="5">
        <v>1189.79394</v>
      </c>
    </row>
    <row r="153" spans="1:13" x14ac:dyDescent="0.25">
      <c r="A153" s="69">
        <v>42376</v>
      </c>
      <c r="B153" s="5">
        <v>156.38914</v>
      </c>
      <c r="C153" s="5">
        <v>207.99114</v>
      </c>
      <c r="D153" s="5">
        <v>260.29190999999997</v>
      </c>
      <c r="E153" s="5">
        <v>349.83463</v>
      </c>
      <c r="F153" s="5">
        <v>576.12759000000005</v>
      </c>
      <c r="G153" s="5">
        <v>0</v>
      </c>
      <c r="H153" s="5">
        <v>177.27149</v>
      </c>
      <c r="I153" s="5">
        <v>269.47485999999998</v>
      </c>
      <c r="J153" s="5">
        <v>367.35995000000003</v>
      </c>
      <c r="K153" s="5">
        <v>555.20385999999996</v>
      </c>
      <c r="L153" s="5">
        <v>921.94662000000005</v>
      </c>
      <c r="M153" s="5">
        <v>1190.78709</v>
      </c>
    </row>
    <row r="154" spans="1:13" x14ac:dyDescent="0.25">
      <c r="A154" s="69">
        <v>42377</v>
      </c>
      <c r="B154" s="5">
        <v>158.69141999999999</v>
      </c>
      <c r="C154" s="5">
        <v>209.58503999999999</v>
      </c>
      <c r="D154" s="5">
        <v>261.90656999999999</v>
      </c>
      <c r="E154" s="5">
        <v>349.93804</v>
      </c>
      <c r="F154" s="5">
        <v>576.16429000000005</v>
      </c>
      <c r="G154" s="5">
        <v>0</v>
      </c>
      <c r="H154" s="5">
        <v>177.22332</v>
      </c>
      <c r="I154" s="5">
        <v>269.39479999999998</v>
      </c>
      <c r="J154" s="5">
        <v>367.37608999999998</v>
      </c>
      <c r="K154" s="5">
        <v>555.19070999999997</v>
      </c>
      <c r="L154" s="5">
        <v>918.88822000000005</v>
      </c>
      <c r="M154" s="5">
        <v>1190.64139</v>
      </c>
    </row>
    <row r="155" spans="1:13" x14ac:dyDescent="0.25">
      <c r="A155" s="69">
        <v>42380</v>
      </c>
      <c r="B155" s="5">
        <v>158.66596999999999</v>
      </c>
      <c r="C155" s="5">
        <v>209.58127999999999</v>
      </c>
      <c r="D155" s="5">
        <v>261.90715999999998</v>
      </c>
      <c r="E155" s="5">
        <v>349.95589999999999</v>
      </c>
      <c r="F155" s="5">
        <v>576.16975000000002</v>
      </c>
      <c r="G155" s="5">
        <v>0</v>
      </c>
      <c r="H155" s="5">
        <v>177.22311999999999</v>
      </c>
      <c r="I155" s="5">
        <v>269.29885000000002</v>
      </c>
      <c r="J155" s="5">
        <v>367.37542000000002</v>
      </c>
      <c r="K155" s="5">
        <v>555.10847999999999</v>
      </c>
      <c r="L155" s="5">
        <v>918.33858999999995</v>
      </c>
      <c r="M155" s="5">
        <v>1191.08529</v>
      </c>
    </row>
    <row r="156" spans="1:13" x14ac:dyDescent="0.25">
      <c r="A156" s="69">
        <v>42381</v>
      </c>
      <c r="B156" s="5">
        <v>158.60289</v>
      </c>
      <c r="C156" s="5">
        <v>209.59335999999999</v>
      </c>
      <c r="D156" s="5">
        <v>261.95051000000001</v>
      </c>
      <c r="E156" s="5">
        <v>349.60854</v>
      </c>
      <c r="F156" s="5">
        <v>575.12868000000003</v>
      </c>
      <c r="G156" s="5">
        <v>0</v>
      </c>
      <c r="H156" s="5">
        <v>177.22327000000001</v>
      </c>
      <c r="I156" s="5">
        <v>269.29460999999998</v>
      </c>
      <c r="J156" s="5">
        <v>367.37344000000002</v>
      </c>
      <c r="K156" s="5">
        <v>555.02588000000003</v>
      </c>
      <c r="L156" s="5">
        <v>918.54927999999995</v>
      </c>
      <c r="M156" s="5">
        <v>1191.4825000000001</v>
      </c>
    </row>
    <row r="157" spans="1:13" x14ac:dyDescent="0.25">
      <c r="A157" s="69">
        <v>42382</v>
      </c>
      <c r="B157" s="5">
        <v>159.52498</v>
      </c>
      <c r="C157" s="5">
        <v>209.59780000000001</v>
      </c>
      <c r="D157" s="5">
        <v>260.73872</v>
      </c>
      <c r="E157" s="5">
        <v>348.68808000000001</v>
      </c>
      <c r="F157" s="5">
        <v>577.58855000000005</v>
      </c>
      <c r="G157" s="5">
        <v>0</v>
      </c>
      <c r="H157" s="5">
        <v>176.98049</v>
      </c>
      <c r="I157" s="5">
        <v>268.82961999999998</v>
      </c>
      <c r="J157" s="5">
        <v>367.17210999999998</v>
      </c>
      <c r="K157" s="5">
        <v>553.87900999999999</v>
      </c>
      <c r="L157" s="5">
        <v>916.56286</v>
      </c>
      <c r="M157" s="5">
        <v>1193.3291999999999</v>
      </c>
    </row>
    <row r="158" spans="1:13" x14ac:dyDescent="0.25">
      <c r="A158" s="69">
        <v>42383</v>
      </c>
      <c r="B158" s="5">
        <v>165.27919</v>
      </c>
      <c r="C158" s="5">
        <v>217.52180000000001</v>
      </c>
      <c r="D158" s="5">
        <v>270.38069000000002</v>
      </c>
      <c r="E158" s="5">
        <v>358.92721999999998</v>
      </c>
      <c r="F158" s="5">
        <v>586.40224000000001</v>
      </c>
      <c r="G158" s="5">
        <v>0</v>
      </c>
      <c r="H158" s="5">
        <v>181.43603999999999</v>
      </c>
      <c r="I158" s="5">
        <v>272.98703</v>
      </c>
      <c r="J158" s="5">
        <v>370.95916</v>
      </c>
      <c r="K158" s="5">
        <v>564.87229000000002</v>
      </c>
      <c r="L158" s="5">
        <v>928.79989</v>
      </c>
      <c r="M158" s="5">
        <v>1212.8697999999999</v>
      </c>
    </row>
    <row r="159" spans="1:13" x14ac:dyDescent="0.25">
      <c r="A159" s="69">
        <v>42384</v>
      </c>
      <c r="B159" s="5">
        <v>170.70853</v>
      </c>
      <c r="C159" s="5">
        <v>221.54424</v>
      </c>
      <c r="D159" s="5">
        <v>280.02557000000002</v>
      </c>
      <c r="E159" s="5">
        <v>376.86176999999998</v>
      </c>
      <c r="F159" s="5">
        <v>623.96268999999995</v>
      </c>
      <c r="G159" s="5">
        <v>0</v>
      </c>
      <c r="H159" s="5">
        <v>184.28124</v>
      </c>
      <c r="I159" s="5">
        <v>282.31713000000002</v>
      </c>
      <c r="J159" s="5">
        <v>384.54131999999998</v>
      </c>
      <c r="K159" s="5">
        <v>587.83267999999998</v>
      </c>
      <c r="L159" s="5">
        <v>995.56966999999997</v>
      </c>
      <c r="M159" s="5">
        <v>1318.1192000000001</v>
      </c>
    </row>
    <row r="160" spans="1:13" x14ac:dyDescent="0.25">
      <c r="A160" s="69">
        <v>42388</v>
      </c>
      <c r="B160" s="5">
        <v>170.80041</v>
      </c>
      <c r="C160" s="5">
        <v>221.50942000000001</v>
      </c>
      <c r="D160" s="5">
        <v>278.73329000000001</v>
      </c>
      <c r="E160" s="5">
        <v>377.17518000000001</v>
      </c>
      <c r="F160" s="5">
        <v>624.00116000000003</v>
      </c>
      <c r="G160" s="5">
        <v>0</v>
      </c>
      <c r="H160" s="5">
        <v>184.22972999999999</v>
      </c>
      <c r="I160" s="5">
        <v>282.31448</v>
      </c>
      <c r="J160" s="5">
        <v>384.50756000000001</v>
      </c>
      <c r="K160" s="5">
        <v>587.79483000000005</v>
      </c>
      <c r="L160" s="5">
        <v>995.09622000000002</v>
      </c>
      <c r="M160" s="5">
        <v>1317.8583599999999</v>
      </c>
    </row>
    <row r="161" spans="1:13" x14ac:dyDescent="0.25">
      <c r="A161" s="69">
        <v>42389</v>
      </c>
      <c r="B161" s="5">
        <v>172.57177999999999</v>
      </c>
      <c r="C161" s="5">
        <v>225.51689999999999</v>
      </c>
      <c r="D161" s="5">
        <v>285.28203999999999</v>
      </c>
      <c r="E161" s="5">
        <v>386.69450999999998</v>
      </c>
      <c r="F161" s="5">
        <v>637.81137999999999</v>
      </c>
      <c r="G161" s="5">
        <v>0</v>
      </c>
      <c r="H161" s="5">
        <v>187.12612999999999</v>
      </c>
      <c r="I161" s="5">
        <v>292.68085000000002</v>
      </c>
      <c r="J161" s="5">
        <v>403.58569</v>
      </c>
      <c r="K161" s="5">
        <v>612.15184999999997</v>
      </c>
      <c r="L161" s="5">
        <v>1050.68415</v>
      </c>
      <c r="M161" s="5">
        <v>1393.1197199999999</v>
      </c>
    </row>
    <row r="162" spans="1:13" x14ac:dyDescent="0.25">
      <c r="A162" s="69">
        <v>42390</v>
      </c>
      <c r="B162" s="5">
        <v>172.17204000000001</v>
      </c>
      <c r="C162" s="5">
        <v>225.48850999999999</v>
      </c>
      <c r="D162" s="5">
        <v>284.86205999999999</v>
      </c>
      <c r="E162" s="5">
        <v>386.56849999999997</v>
      </c>
      <c r="F162" s="5">
        <v>637.42836</v>
      </c>
      <c r="G162" s="5">
        <v>0</v>
      </c>
      <c r="H162" s="5">
        <v>187.14471</v>
      </c>
      <c r="I162" s="5">
        <v>292.74311999999998</v>
      </c>
      <c r="J162" s="5">
        <v>403.61232000000001</v>
      </c>
      <c r="K162" s="5">
        <v>612.14721999999995</v>
      </c>
      <c r="L162" s="5">
        <v>1043.7012099999999</v>
      </c>
      <c r="M162" s="5">
        <v>1393.5033100000001</v>
      </c>
    </row>
    <row r="163" spans="1:13" x14ac:dyDescent="0.25">
      <c r="A163" s="69">
        <v>42391</v>
      </c>
      <c r="B163" s="5">
        <v>172.14768000000001</v>
      </c>
      <c r="C163" s="5">
        <v>225.49717999999999</v>
      </c>
      <c r="D163" s="5">
        <v>284.59771999999998</v>
      </c>
      <c r="E163" s="5">
        <v>386.78303</v>
      </c>
      <c r="F163" s="5">
        <v>638.72685000000001</v>
      </c>
      <c r="G163" s="5">
        <v>0</v>
      </c>
      <c r="H163" s="5">
        <v>187.10669999999999</v>
      </c>
      <c r="I163" s="5">
        <v>292.72836999999998</v>
      </c>
      <c r="J163" s="5">
        <v>403.61856</v>
      </c>
      <c r="K163" s="5">
        <v>612.09056999999996</v>
      </c>
      <c r="L163" s="5">
        <v>1043.0429999999999</v>
      </c>
      <c r="M163" s="5">
        <v>1394.08825</v>
      </c>
    </row>
    <row r="164" spans="1:13" x14ac:dyDescent="0.25">
      <c r="A164" s="69">
        <v>42394</v>
      </c>
      <c r="B164" s="5">
        <v>171.53623999999999</v>
      </c>
      <c r="C164" s="5">
        <v>225.56332</v>
      </c>
      <c r="D164" s="5">
        <v>284.64064000000002</v>
      </c>
      <c r="E164" s="5">
        <v>386.80635999999998</v>
      </c>
      <c r="F164" s="5">
        <v>638.82172000000003</v>
      </c>
      <c r="G164" s="5">
        <v>0</v>
      </c>
      <c r="H164" s="5">
        <v>187.10641000000001</v>
      </c>
      <c r="I164" s="5">
        <v>292.72987000000001</v>
      </c>
      <c r="J164" s="5">
        <v>403.62187999999998</v>
      </c>
      <c r="K164" s="5">
        <v>612.20910000000003</v>
      </c>
      <c r="L164" s="5">
        <v>1044.19875</v>
      </c>
      <c r="M164" s="5">
        <v>1394.61033</v>
      </c>
    </row>
    <row r="165" spans="1:13" x14ac:dyDescent="0.25">
      <c r="A165" s="69">
        <v>42395</v>
      </c>
      <c r="B165" s="5">
        <v>171.74733000000001</v>
      </c>
      <c r="C165" s="5">
        <v>225.57103000000001</v>
      </c>
      <c r="D165" s="5">
        <v>284.54068999999998</v>
      </c>
      <c r="E165" s="5">
        <v>386.97068999999999</v>
      </c>
      <c r="F165" s="5">
        <v>638.75513000000001</v>
      </c>
      <c r="G165" s="5">
        <v>0</v>
      </c>
      <c r="H165" s="5">
        <v>187.11344</v>
      </c>
      <c r="I165" s="5">
        <v>292.62472000000002</v>
      </c>
      <c r="J165" s="5">
        <v>403.54579000000001</v>
      </c>
      <c r="K165" s="5">
        <v>611.96456000000001</v>
      </c>
      <c r="L165" s="5">
        <v>1044.1692800000001</v>
      </c>
      <c r="M165" s="5">
        <v>1394.4475299999999</v>
      </c>
    </row>
    <row r="166" spans="1:13" x14ac:dyDescent="0.25">
      <c r="A166" s="69">
        <v>42396</v>
      </c>
      <c r="B166" s="5">
        <v>171.85566</v>
      </c>
      <c r="C166" s="5">
        <v>225.54452000000001</v>
      </c>
      <c r="D166" s="5">
        <v>284.60054000000002</v>
      </c>
      <c r="E166" s="5">
        <v>387.08208000000002</v>
      </c>
      <c r="F166" s="5">
        <v>638.99361999999996</v>
      </c>
      <c r="G166" s="5">
        <v>0</v>
      </c>
      <c r="H166" s="5">
        <v>189.24213</v>
      </c>
      <c r="I166" s="5">
        <v>292.51382000000001</v>
      </c>
      <c r="J166" s="5">
        <v>415.62921</v>
      </c>
      <c r="K166" s="5">
        <v>647.03601000000003</v>
      </c>
      <c r="L166" s="5">
        <v>1065.4282000000001</v>
      </c>
      <c r="M166" s="5">
        <v>1428.9340400000001</v>
      </c>
    </row>
    <row r="167" spans="1:13" x14ac:dyDescent="0.25">
      <c r="A167" s="69">
        <v>42397</v>
      </c>
      <c r="B167" s="5">
        <v>171.85227</v>
      </c>
      <c r="C167" s="5">
        <v>225.55378999999999</v>
      </c>
      <c r="D167" s="5">
        <v>284.61628999999999</v>
      </c>
      <c r="E167" s="5">
        <v>387.88974000000002</v>
      </c>
      <c r="F167" s="5">
        <v>640.00313000000006</v>
      </c>
      <c r="G167" s="5">
        <v>0</v>
      </c>
      <c r="H167" s="5">
        <v>189.29265000000001</v>
      </c>
      <c r="I167" s="5">
        <v>293.11802</v>
      </c>
      <c r="J167" s="5">
        <v>414.44625000000002</v>
      </c>
      <c r="K167" s="5">
        <v>645.76224000000002</v>
      </c>
      <c r="L167" s="5">
        <v>1065.03232</v>
      </c>
      <c r="M167" s="5">
        <v>1428.9659300000001</v>
      </c>
    </row>
    <row r="168" spans="1:13" x14ac:dyDescent="0.25">
      <c r="A168" s="69">
        <v>42398</v>
      </c>
      <c r="B168" s="5">
        <v>172.37342000000001</v>
      </c>
      <c r="C168" s="5">
        <v>225.85929999999999</v>
      </c>
      <c r="D168" s="5">
        <v>284.62337000000002</v>
      </c>
      <c r="E168" s="5">
        <v>387.91152</v>
      </c>
      <c r="F168" s="5">
        <v>652.25219000000004</v>
      </c>
      <c r="G168" s="5">
        <v>0</v>
      </c>
      <c r="H168" s="5">
        <v>188.98373000000001</v>
      </c>
      <c r="I168" s="5">
        <v>291.88641000000001</v>
      </c>
      <c r="J168" s="5">
        <v>413.62072999999998</v>
      </c>
      <c r="K168" s="5">
        <v>608.67714000000001</v>
      </c>
      <c r="L168" s="5">
        <v>1059.9641099999999</v>
      </c>
      <c r="M168" s="5">
        <v>1425.0495800000001</v>
      </c>
    </row>
    <row r="169" spans="1:13" x14ac:dyDescent="0.25">
      <c r="A169" s="69">
        <v>42401</v>
      </c>
      <c r="B169" s="5">
        <v>172.55362</v>
      </c>
      <c r="C169" s="5">
        <v>225.84474</v>
      </c>
      <c r="D169" s="5">
        <v>284.62648000000002</v>
      </c>
      <c r="E169" s="5">
        <v>387.8075</v>
      </c>
      <c r="F169" s="5">
        <v>639.61548000000005</v>
      </c>
      <c r="G169" s="5">
        <v>0</v>
      </c>
      <c r="H169" s="5">
        <v>188.93956</v>
      </c>
      <c r="I169" s="5">
        <v>291.79561000000001</v>
      </c>
      <c r="J169" s="5">
        <v>413.63069000000002</v>
      </c>
      <c r="K169" s="5">
        <v>608.49815999999998</v>
      </c>
      <c r="L169" s="5">
        <v>1057.7383299999999</v>
      </c>
      <c r="M169" s="5">
        <v>1425.5311300000001</v>
      </c>
    </row>
    <row r="170" spans="1:13" x14ac:dyDescent="0.25">
      <c r="A170" s="69">
        <v>42402</v>
      </c>
      <c r="B170" s="5">
        <v>172.60760999999999</v>
      </c>
      <c r="C170" s="5">
        <v>225.76149000000001</v>
      </c>
      <c r="D170" s="5">
        <v>284.79723000000001</v>
      </c>
      <c r="E170" s="5">
        <v>388.22615000000002</v>
      </c>
      <c r="F170" s="5">
        <v>638.29553999999996</v>
      </c>
      <c r="G170" s="5">
        <v>0</v>
      </c>
      <c r="H170" s="5">
        <v>188.93818999999999</v>
      </c>
      <c r="I170" s="5">
        <v>291.71165999999999</v>
      </c>
      <c r="J170" s="5">
        <v>413.64690999999999</v>
      </c>
      <c r="K170" s="5">
        <v>609.00149999999996</v>
      </c>
      <c r="L170" s="5">
        <v>1056.14292</v>
      </c>
      <c r="M170" s="5">
        <v>1422.5334</v>
      </c>
    </row>
    <row r="171" spans="1:13" x14ac:dyDescent="0.25">
      <c r="A171" s="69">
        <v>42403</v>
      </c>
      <c r="B171" s="5">
        <v>172.61867000000001</v>
      </c>
      <c r="C171" s="5">
        <v>225.78790000000001</v>
      </c>
      <c r="D171" s="5">
        <v>284.80045000000001</v>
      </c>
      <c r="E171" s="5">
        <v>388.18853999999999</v>
      </c>
      <c r="F171" s="5">
        <v>638.24360999999999</v>
      </c>
      <c r="G171" s="5">
        <v>0</v>
      </c>
      <c r="H171" s="5">
        <v>188.91738000000001</v>
      </c>
      <c r="I171" s="5">
        <v>291.71368000000001</v>
      </c>
      <c r="J171" s="5">
        <v>413.56022999999999</v>
      </c>
      <c r="K171" s="5">
        <v>609.64621</v>
      </c>
      <c r="L171" s="5">
        <v>1055.4244900000001</v>
      </c>
      <c r="M171" s="5">
        <v>1425.77953</v>
      </c>
    </row>
    <row r="172" spans="1:13" x14ac:dyDescent="0.25">
      <c r="A172" s="69">
        <v>42404</v>
      </c>
      <c r="B172" s="5">
        <v>172.65889000000001</v>
      </c>
      <c r="C172" s="5">
        <v>225.88489000000001</v>
      </c>
      <c r="D172" s="5">
        <v>285.00716999999997</v>
      </c>
      <c r="E172" s="5">
        <v>388.74014</v>
      </c>
      <c r="F172" s="5">
        <v>638.73744999999997</v>
      </c>
      <c r="G172" s="5">
        <v>0</v>
      </c>
      <c r="H172" s="5">
        <v>190.54691</v>
      </c>
      <c r="I172" s="5">
        <v>295.94279999999998</v>
      </c>
      <c r="J172" s="5">
        <v>426.404</v>
      </c>
      <c r="K172" s="5">
        <v>629.61504000000002</v>
      </c>
      <c r="L172" s="5">
        <v>1075.7233200000001</v>
      </c>
      <c r="M172" s="5">
        <v>1466.9510299999999</v>
      </c>
    </row>
    <row r="173" spans="1:13" x14ac:dyDescent="0.25">
      <c r="A173" s="69">
        <v>42405</v>
      </c>
      <c r="B173" s="5">
        <v>172.84019000000001</v>
      </c>
      <c r="C173" s="5">
        <v>225.95263</v>
      </c>
      <c r="D173" s="5">
        <v>285.63189</v>
      </c>
      <c r="E173" s="5">
        <v>390.15976000000001</v>
      </c>
      <c r="F173" s="5">
        <v>641.73855000000003</v>
      </c>
      <c r="G173" s="5">
        <v>0</v>
      </c>
      <c r="H173" s="5">
        <v>190.60758000000001</v>
      </c>
      <c r="I173" s="5">
        <v>296.11754999999999</v>
      </c>
      <c r="J173" s="5">
        <v>426.54770000000002</v>
      </c>
      <c r="K173" s="5">
        <v>631.04066</v>
      </c>
      <c r="L173" s="5">
        <v>1079.5141000000001</v>
      </c>
      <c r="M173" s="5">
        <v>1475.4843100000001</v>
      </c>
    </row>
    <row r="174" spans="1:13" x14ac:dyDescent="0.25">
      <c r="A174" s="69">
        <v>42408</v>
      </c>
      <c r="B174" s="5">
        <v>172.75206</v>
      </c>
      <c r="C174" s="5">
        <v>226.02780999999999</v>
      </c>
      <c r="D174" s="5">
        <v>285.64773000000002</v>
      </c>
      <c r="E174" s="5">
        <v>390.18383</v>
      </c>
      <c r="F174" s="5">
        <v>641.77236000000005</v>
      </c>
      <c r="G174" s="5">
        <v>0</v>
      </c>
      <c r="H174" s="5">
        <v>190.80821</v>
      </c>
      <c r="I174" s="5">
        <v>298.21366999999998</v>
      </c>
      <c r="J174" s="5">
        <v>435.87128999999999</v>
      </c>
      <c r="K174" s="5">
        <v>642.76665000000003</v>
      </c>
      <c r="L174" s="5">
        <v>1085.4911999999999</v>
      </c>
      <c r="M174" s="5">
        <v>1513.27646</v>
      </c>
    </row>
    <row r="175" spans="1:13" x14ac:dyDescent="0.25">
      <c r="A175" s="69">
        <v>42409</v>
      </c>
      <c r="B175" s="5">
        <v>172.74868000000001</v>
      </c>
      <c r="C175" s="5">
        <v>226.04288</v>
      </c>
      <c r="D175" s="5">
        <v>285.66230999999999</v>
      </c>
      <c r="E175" s="5">
        <v>390.99392</v>
      </c>
      <c r="F175" s="5">
        <v>643.64049999999997</v>
      </c>
      <c r="G175" s="5">
        <v>0</v>
      </c>
      <c r="H175" s="5">
        <v>190.80838</v>
      </c>
      <c r="I175" s="5">
        <v>298.21494000000001</v>
      </c>
      <c r="J175" s="5">
        <v>435.87774000000002</v>
      </c>
      <c r="K175" s="5">
        <v>642.69739000000004</v>
      </c>
      <c r="L175" s="5">
        <v>1086.77171</v>
      </c>
      <c r="M175" s="5">
        <v>1517.0805</v>
      </c>
    </row>
    <row r="176" spans="1:13" x14ac:dyDescent="0.25">
      <c r="A176" s="69">
        <v>42410</v>
      </c>
      <c r="B176" s="5">
        <v>173.15258</v>
      </c>
      <c r="C176" s="5">
        <v>226.08224000000001</v>
      </c>
      <c r="D176" s="5">
        <v>286.45159999999998</v>
      </c>
      <c r="E176" s="5">
        <v>394.59753000000001</v>
      </c>
      <c r="F176" s="5">
        <v>649.29566999999997</v>
      </c>
      <c r="G176" s="5">
        <v>0</v>
      </c>
      <c r="H176" s="5">
        <v>191.09398999999999</v>
      </c>
      <c r="I176" s="5">
        <v>298.30990000000003</v>
      </c>
      <c r="J176" s="5">
        <v>436.03503000000001</v>
      </c>
      <c r="K176" s="5">
        <v>642.67364999999995</v>
      </c>
      <c r="L176" s="5">
        <v>1086.5186000000001</v>
      </c>
      <c r="M176" s="5">
        <v>1517.0880099999999</v>
      </c>
    </row>
    <row r="177" spans="1:13" x14ac:dyDescent="0.25">
      <c r="A177" s="69">
        <v>42411</v>
      </c>
      <c r="B177" s="5">
        <v>173.50049000000001</v>
      </c>
      <c r="C177" s="5">
        <v>226.28172000000001</v>
      </c>
      <c r="D177" s="5">
        <v>286.47512999999998</v>
      </c>
      <c r="E177" s="5">
        <v>394.62639000000001</v>
      </c>
      <c r="F177" s="5">
        <v>652.48969999999997</v>
      </c>
      <c r="G177" s="5">
        <v>0</v>
      </c>
      <c r="H177" s="5">
        <v>191.22150999999999</v>
      </c>
      <c r="I177" s="5">
        <v>300.18335000000002</v>
      </c>
      <c r="J177" s="5">
        <v>439.44580000000002</v>
      </c>
      <c r="K177" s="5">
        <v>648.34360000000004</v>
      </c>
      <c r="L177" s="5">
        <v>1097.09194</v>
      </c>
      <c r="M177" s="5">
        <v>1521.4218000000001</v>
      </c>
    </row>
    <row r="178" spans="1:13" x14ac:dyDescent="0.25">
      <c r="A178" s="69">
        <v>42412</v>
      </c>
      <c r="B178" s="5">
        <v>173.52386999999999</v>
      </c>
      <c r="C178" s="5">
        <v>226.28154000000001</v>
      </c>
      <c r="D178" s="5">
        <v>287.79147</v>
      </c>
      <c r="E178" s="5">
        <v>394.95432</v>
      </c>
      <c r="F178" s="5">
        <v>651.60958000000005</v>
      </c>
      <c r="G178" s="5">
        <v>0</v>
      </c>
      <c r="H178" s="5">
        <v>191.41932</v>
      </c>
      <c r="I178" s="5">
        <v>300.24448000000001</v>
      </c>
      <c r="J178" s="5">
        <v>439.66719999999998</v>
      </c>
      <c r="K178" s="5">
        <v>648.37531000000001</v>
      </c>
      <c r="L178" s="5">
        <v>1096.9431500000001</v>
      </c>
      <c r="M178" s="5">
        <v>1522.49307</v>
      </c>
    </row>
    <row r="179" spans="1:13" x14ac:dyDescent="0.25">
      <c r="A179" s="69">
        <v>42416</v>
      </c>
      <c r="B179" s="5">
        <v>173.53083000000001</v>
      </c>
      <c r="C179" s="5">
        <v>226.39089999999999</v>
      </c>
      <c r="D179" s="5">
        <v>287.94639999999998</v>
      </c>
      <c r="E179" s="5">
        <v>395.03197999999998</v>
      </c>
      <c r="F179" s="5">
        <v>651.70399999999995</v>
      </c>
      <c r="G179" s="5">
        <v>0</v>
      </c>
      <c r="H179" s="5">
        <v>191.43738999999999</v>
      </c>
      <c r="I179" s="5">
        <v>300.23192</v>
      </c>
      <c r="J179" s="5">
        <v>439.26870000000002</v>
      </c>
      <c r="K179" s="5">
        <v>648.53112999999996</v>
      </c>
      <c r="L179" s="5">
        <v>1097.8148000000001</v>
      </c>
      <c r="M179" s="5">
        <v>1523.9815900000001</v>
      </c>
    </row>
    <row r="180" spans="1:13" x14ac:dyDescent="0.25">
      <c r="A180" s="69">
        <v>42417</v>
      </c>
      <c r="B180" s="5">
        <v>173.49945</v>
      </c>
      <c r="C180" s="5">
        <v>226.46815000000001</v>
      </c>
      <c r="D180" s="5">
        <v>287.98567000000003</v>
      </c>
      <c r="E180" s="5">
        <v>395.08024999999998</v>
      </c>
      <c r="F180" s="5">
        <v>651.75608</v>
      </c>
      <c r="G180" s="5">
        <v>0</v>
      </c>
      <c r="H180" s="5">
        <v>191.44452000000001</v>
      </c>
      <c r="I180" s="5">
        <v>300.27055999999999</v>
      </c>
      <c r="J180" s="5">
        <v>438.99630999999999</v>
      </c>
      <c r="K180" s="5">
        <v>648.73105999999996</v>
      </c>
      <c r="L180" s="5">
        <v>1098.16572</v>
      </c>
      <c r="M180" s="5">
        <v>1524.05468</v>
      </c>
    </row>
    <row r="181" spans="1:13" x14ac:dyDescent="0.25">
      <c r="A181" s="69">
        <v>42418</v>
      </c>
      <c r="B181" s="5">
        <v>173.50366</v>
      </c>
      <c r="C181" s="5">
        <v>226.51582999999999</v>
      </c>
      <c r="D181" s="5">
        <v>288.00209000000001</v>
      </c>
      <c r="E181" s="5">
        <v>395.10395</v>
      </c>
      <c r="F181" s="5">
        <v>652.30003999999997</v>
      </c>
      <c r="G181" s="5">
        <v>0</v>
      </c>
      <c r="H181" s="5">
        <v>191.44855999999999</v>
      </c>
      <c r="I181" s="5">
        <v>300.20778999999999</v>
      </c>
      <c r="J181" s="5">
        <v>439.01022</v>
      </c>
      <c r="K181" s="5">
        <v>648.85712000000001</v>
      </c>
      <c r="L181" s="5">
        <v>1099.46405</v>
      </c>
      <c r="M181" s="5">
        <v>1525.2932000000001</v>
      </c>
    </row>
    <row r="182" spans="1:13" x14ac:dyDescent="0.25">
      <c r="A182" s="69">
        <v>42419</v>
      </c>
      <c r="B182" s="5">
        <v>173.53745000000001</v>
      </c>
      <c r="C182" s="5">
        <v>226.54497000000001</v>
      </c>
      <c r="D182" s="5">
        <v>288.04156999999998</v>
      </c>
      <c r="E182" s="5">
        <v>398.0231</v>
      </c>
      <c r="F182" s="5">
        <v>659.61947999999995</v>
      </c>
      <c r="G182" s="5">
        <v>0</v>
      </c>
      <c r="H182" s="5">
        <v>191.55079000000001</v>
      </c>
      <c r="I182" s="5">
        <v>300.30277000000001</v>
      </c>
      <c r="J182" s="5">
        <v>439.04583000000002</v>
      </c>
      <c r="K182" s="5">
        <v>648.93997999999999</v>
      </c>
      <c r="L182" s="5">
        <v>1100.8492000000001</v>
      </c>
      <c r="M182" s="5">
        <v>1525.5576100000001</v>
      </c>
    </row>
    <row r="183" spans="1:13" x14ac:dyDescent="0.25">
      <c r="A183" s="69">
        <v>42422</v>
      </c>
      <c r="B183" s="5">
        <v>173.21698000000001</v>
      </c>
      <c r="C183" s="5">
        <v>226.54821000000001</v>
      </c>
      <c r="D183" s="5">
        <v>288.04998999999998</v>
      </c>
      <c r="E183" s="5">
        <v>398.89155</v>
      </c>
      <c r="F183" s="5">
        <v>660.98352</v>
      </c>
      <c r="G183" s="5">
        <v>0</v>
      </c>
      <c r="H183" s="5">
        <v>191.50493</v>
      </c>
      <c r="I183" s="5">
        <v>300.30970000000002</v>
      </c>
      <c r="J183" s="5">
        <v>439.05916000000002</v>
      </c>
      <c r="K183" s="5">
        <v>648.94313999999997</v>
      </c>
      <c r="L183" s="5">
        <v>1101.7426700000001</v>
      </c>
      <c r="M183" s="5">
        <v>1525.8793599999999</v>
      </c>
    </row>
    <row r="184" spans="1:13" x14ac:dyDescent="0.25">
      <c r="A184" s="69">
        <v>42423</v>
      </c>
      <c r="B184" s="5">
        <v>174.66494</v>
      </c>
      <c r="C184" s="5">
        <v>227.00094999999999</v>
      </c>
      <c r="D184" s="5">
        <v>288.79196999999999</v>
      </c>
      <c r="E184" s="5">
        <v>401.33298000000002</v>
      </c>
      <c r="F184" s="5">
        <v>662.42083000000002</v>
      </c>
      <c r="G184" s="5">
        <v>0</v>
      </c>
      <c r="H184" s="5">
        <v>191.70866000000001</v>
      </c>
      <c r="I184" s="5">
        <v>300.50617</v>
      </c>
      <c r="J184" s="5">
        <v>438.37252999999998</v>
      </c>
      <c r="K184" s="5">
        <v>649.1336</v>
      </c>
      <c r="L184" s="5">
        <v>1102.7403400000001</v>
      </c>
      <c r="M184" s="5">
        <v>1526.1196399999999</v>
      </c>
    </row>
    <row r="185" spans="1:13" x14ac:dyDescent="0.25">
      <c r="A185" s="69">
        <v>42424</v>
      </c>
      <c r="B185" s="5">
        <v>175.99227999999999</v>
      </c>
      <c r="C185" s="5">
        <v>227.73746</v>
      </c>
      <c r="D185" s="5">
        <v>289.97823</v>
      </c>
      <c r="E185" s="5">
        <v>402.37470999999999</v>
      </c>
      <c r="F185" s="5">
        <v>664.14751999999999</v>
      </c>
      <c r="G185" s="5">
        <v>0</v>
      </c>
      <c r="H185" s="5">
        <v>205.59496999999999</v>
      </c>
      <c r="I185" s="5">
        <v>311.00922000000003</v>
      </c>
      <c r="J185" s="5">
        <v>457.98755</v>
      </c>
      <c r="K185" s="5">
        <v>649.09388000000001</v>
      </c>
      <c r="L185" s="5">
        <v>1194.3701799999999</v>
      </c>
      <c r="M185" s="5">
        <v>1652.49305</v>
      </c>
    </row>
    <row r="186" spans="1:13" x14ac:dyDescent="0.25">
      <c r="A186" s="69">
        <v>42425</v>
      </c>
      <c r="B186" s="5">
        <v>176.02567999999999</v>
      </c>
      <c r="C186" s="5">
        <v>227.99705</v>
      </c>
      <c r="D186" s="5">
        <v>291.17917999999997</v>
      </c>
      <c r="E186" s="5">
        <v>403.14371</v>
      </c>
      <c r="F186" s="5">
        <v>664.16988000000003</v>
      </c>
      <c r="G186" s="5">
        <v>0</v>
      </c>
      <c r="H186" s="5">
        <v>205.48599999999999</v>
      </c>
      <c r="I186" s="5">
        <v>310.87993</v>
      </c>
      <c r="J186" s="5">
        <v>457.97964000000002</v>
      </c>
      <c r="K186" s="5">
        <v>711.06966999999997</v>
      </c>
      <c r="L186" s="5">
        <v>1196.07601</v>
      </c>
      <c r="M186" s="5">
        <v>1652.2072700000001</v>
      </c>
    </row>
    <row r="187" spans="1:13" x14ac:dyDescent="0.25">
      <c r="A187" s="69">
        <v>42426</v>
      </c>
      <c r="B187" s="5">
        <v>176.00497999999999</v>
      </c>
      <c r="C187" s="5">
        <v>228.62188</v>
      </c>
      <c r="D187" s="5">
        <v>292.97237999999999</v>
      </c>
      <c r="E187" s="5">
        <v>406.14274</v>
      </c>
      <c r="F187" s="5">
        <v>677.02874999999995</v>
      </c>
      <c r="G187" s="5">
        <v>0</v>
      </c>
      <c r="H187" s="5">
        <v>205.3963</v>
      </c>
      <c r="I187" s="5">
        <v>310.41797000000003</v>
      </c>
      <c r="J187" s="5">
        <v>457.40688</v>
      </c>
      <c r="K187" s="5">
        <v>711.04546000000005</v>
      </c>
      <c r="L187" s="5">
        <v>1196.94325</v>
      </c>
      <c r="M187" s="5">
        <v>1652.5440699999999</v>
      </c>
    </row>
    <row r="188" spans="1:13" x14ac:dyDescent="0.25">
      <c r="A188" s="69">
        <v>42429</v>
      </c>
      <c r="B188" s="5">
        <v>175.57239999999999</v>
      </c>
      <c r="C188" s="5">
        <v>229.98173</v>
      </c>
      <c r="D188" s="5">
        <v>295.49151999999998</v>
      </c>
      <c r="E188" s="5">
        <v>422.37732999999997</v>
      </c>
      <c r="F188" s="5">
        <v>680.77638000000002</v>
      </c>
      <c r="G188" s="5">
        <v>0</v>
      </c>
      <c r="H188" s="5">
        <v>205.13338999999999</v>
      </c>
      <c r="I188" s="5">
        <v>309.94949000000003</v>
      </c>
      <c r="J188" s="5">
        <v>456.33416</v>
      </c>
      <c r="K188" s="5">
        <v>709.59893</v>
      </c>
      <c r="L188" s="5">
        <v>1196.29189</v>
      </c>
      <c r="M188" s="5">
        <v>1645.5838100000001</v>
      </c>
    </row>
    <row r="189" spans="1:13" x14ac:dyDescent="0.25">
      <c r="A189" s="69">
        <v>42430</v>
      </c>
      <c r="B189" s="5">
        <v>175.58555999999999</v>
      </c>
      <c r="C189" s="5">
        <v>229.99302</v>
      </c>
      <c r="D189" s="5">
        <v>294.80572000000001</v>
      </c>
      <c r="E189" s="5">
        <v>417.17815000000002</v>
      </c>
      <c r="F189" s="5">
        <v>680.97846000000004</v>
      </c>
      <c r="G189" s="5">
        <v>0</v>
      </c>
      <c r="H189" s="5">
        <v>205.10833</v>
      </c>
      <c r="I189" s="5">
        <v>309.95672999999999</v>
      </c>
      <c r="J189" s="5">
        <v>456.36415</v>
      </c>
      <c r="K189" s="5">
        <v>709.49090999999999</v>
      </c>
      <c r="L189" s="5">
        <v>1196.3664699999999</v>
      </c>
      <c r="M189" s="5">
        <v>1646.6671100000001</v>
      </c>
    </row>
    <row r="190" spans="1:13" x14ac:dyDescent="0.25">
      <c r="A190" s="69">
        <v>42431</v>
      </c>
      <c r="B190" s="5">
        <v>175.69336000000001</v>
      </c>
      <c r="C190" s="5">
        <v>229.60724999999999</v>
      </c>
      <c r="D190" s="5">
        <v>294.04784000000001</v>
      </c>
      <c r="E190" s="5">
        <v>415.84696000000002</v>
      </c>
      <c r="F190" s="5">
        <v>682.62667999999996</v>
      </c>
      <c r="G190" s="5">
        <v>0</v>
      </c>
      <c r="H190" s="5">
        <v>205.03747999999999</v>
      </c>
      <c r="I190" s="5">
        <v>309.97843</v>
      </c>
      <c r="J190" s="5">
        <v>456.16399999999999</v>
      </c>
      <c r="K190" s="5">
        <v>708.47879999999998</v>
      </c>
      <c r="L190" s="5">
        <v>1196.7194099999999</v>
      </c>
      <c r="M190" s="5">
        <v>1643.1634300000001</v>
      </c>
    </row>
    <row r="191" spans="1:13" x14ac:dyDescent="0.25">
      <c r="A191" s="69">
        <v>42432</v>
      </c>
      <c r="B191" s="5">
        <v>175.70186000000001</v>
      </c>
      <c r="C191" s="5">
        <v>229.62128000000001</v>
      </c>
      <c r="D191" s="5">
        <v>294.15372000000002</v>
      </c>
      <c r="E191" s="5">
        <v>415.86218000000002</v>
      </c>
      <c r="F191" s="5">
        <v>682.65557000000001</v>
      </c>
      <c r="G191" s="5">
        <v>0</v>
      </c>
      <c r="H191" s="5">
        <v>205.00914</v>
      </c>
      <c r="I191" s="5">
        <v>309.88404000000003</v>
      </c>
      <c r="J191" s="5">
        <v>456.12975999999998</v>
      </c>
      <c r="K191" s="5">
        <v>708.18556999999998</v>
      </c>
      <c r="L191" s="5">
        <v>1196.7592099999999</v>
      </c>
      <c r="M191" s="5">
        <v>1643.1468199999999</v>
      </c>
    </row>
    <row r="192" spans="1:13" x14ac:dyDescent="0.25">
      <c r="A192" s="69">
        <v>42433</v>
      </c>
      <c r="B192" s="5">
        <v>175.71499</v>
      </c>
      <c r="C192" s="5">
        <v>229.63998000000001</v>
      </c>
      <c r="D192" s="5">
        <v>294.16352000000001</v>
      </c>
      <c r="E192" s="5">
        <v>414.27472</v>
      </c>
      <c r="F192" s="5">
        <v>682.67985999999996</v>
      </c>
      <c r="G192" s="5">
        <v>0</v>
      </c>
      <c r="H192" s="5">
        <v>204.81308000000001</v>
      </c>
      <c r="I192" s="5">
        <v>309.88350000000003</v>
      </c>
      <c r="J192" s="5">
        <v>456.06952000000001</v>
      </c>
      <c r="K192" s="5">
        <v>708.25585000000001</v>
      </c>
      <c r="L192" s="5">
        <v>1196.94616</v>
      </c>
      <c r="M192" s="5">
        <v>1642.70073</v>
      </c>
    </row>
    <row r="193" spans="1:13" x14ac:dyDescent="0.25">
      <c r="A193" s="69">
        <v>42436</v>
      </c>
      <c r="B193" s="5">
        <v>175.85117</v>
      </c>
      <c r="C193" s="5">
        <v>229.57163</v>
      </c>
      <c r="D193" s="5">
        <v>294.43074999999999</v>
      </c>
      <c r="E193" s="5">
        <v>414.66298999999998</v>
      </c>
      <c r="F193" s="5">
        <v>683.87594999999999</v>
      </c>
      <c r="G193" s="5">
        <v>0</v>
      </c>
      <c r="H193" s="5">
        <v>204.68045000000001</v>
      </c>
      <c r="I193" s="5">
        <v>309.81536</v>
      </c>
      <c r="J193" s="5">
        <v>455.85257999999999</v>
      </c>
      <c r="K193" s="5">
        <v>708.14756</v>
      </c>
      <c r="L193" s="5">
        <v>1196.9138499999999</v>
      </c>
      <c r="M193" s="5">
        <v>1642.05953</v>
      </c>
    </row>
    <row r="194" spans="1:13" x14ac:dyDescent="0.25">
      <c r="A194" s="69">
        <v>42437</v>
      </c>
      <c r="B194" s="5">
        <v>176.39793</v>
      </c>
      <c r="C194" s="5">
        <v>231.81402</v>
      </c>
      <c r="D194" s="5">
        <v>294.86527000000001</v>
      </c>
      <c r="E194" s="5">
        <v>414.78253000000001</v>
      </c>
      <c r="F194" s="5">
        <v>690.40772000000004</v>
      </c>
      <c r="G194" s="5">
        <v>0</v>
      </c>
      <c r="H194" s="5">
        <v>204.68499</v>
      </c>
      <c r="I194" s="5">
        <v>309.81455</v>
      </c>
      <c r="J194" s="5">
        <v>455.54923000000002</v>
      </c>
      <c r="K194" s="5">
        <v>707.92087000000004</v>
      </c>
      <c r="L194" s="5">
        <v>1196.8575699999999</v>
      </c>
      <c r="M194" s="5">
        <v>1642.54943</v>
      </c>
    </row>
    <row r="195" spans="1:13" x14ac:dyDescent="0.25">
      <c r="A195" s="69">
        <v>42438</v>
      </c>
      <c r="B195" s="5">
        <v>176.4494</v>
      </c>
      <c r="C195" s="5">
        <v>231.83928</v>
      </c>
      <c r="D195" s="5">
        <v>294.89134999999999</v>
      </c>
      <c r="E195" s="5">
        <v>414.82276000000002</v>
      </c>
      <c r="F195" s="5">
        <v>691.23459000000003</v>
      </c>
      <c r="G195" s="5">
        <v>0</v>
      </c>
      <c r="H195" s="5">
        <v>201.09881999999999</v>
      </c>
      <c r="I195" s="5">
        <v>302.64325000000002</v>
      </c>
      <c r="J195" s="5">
        <v>441.42658</v>
      </c>
      <c r="K195" s="5">
        <v>689.19527000000005</v>
      </c>
      <c r="L195" s="5">
        <v>1151.8790100000001</v>
      </c>
      <c r="M195" s="5">
        <v>1588.3309899999999</v>
      </c>
    </row>
    <row r="196" spans="1:13" x14ac:dyDescent="0.25">
      <c r="A196" s="69">
        <v>42439</v>
      </c>
      <c r="B196" s="5">
        <v>176.47241</v>
      </c>
      <c r="C196" s="5">
        <v>231.78460000000001</v>
      </c>
      <c r="D196" s="5">
        <v>294.87768</v>
      </c>
      <c r="E196" s="5">
        <v>414.81085000000002</v>
      </c>
      <c r="F196" s="5">
        <v>693.44318999999996</v>
      </c>
      <c r="G196" s="5">
        <v>0</v>
      </c>
      <c r="H196" s="5">
        <v>201.04607999999999</v>
      </c>
      <c r="I196" s="5">
        <v>302.64692000000002</v>
      </c>
      <c r="J196" s="5">
        <v>441.33553000000001</v>
      </c>
      <c r="K196" s="5">
        <v>688.56043999999997</v>
      </c>
      <c r="L196" s="5">
        <v>1148.2250799999999</v>
      </c>
      <c r="M196" s="5">
        <v>1588.4363599999999</v>
      </c>
    </row>
    <row r="197" spans="1:13" x14ac:dyDescent="0.25">
      <c r="A197" s="69">
        <v>42440</v>
      </c>
      <c r="B197" s="5">
        <v>174.39435</v>
      </c>
      <c r="C197" s="5">
        <v>231.81501</v>
      </c>
      <c r="D197" s="5">
        <v>294.90190999999999</v>
      </c>
      <c r="E197" s="5">
        <v>414.36995000000002</v>
      </c>
      <c r="F197" s="5">
        <v>699.85242000000005</v>
      </c>
      <c r="G197" s="5">
        <v>0</v>
      </c>
      <c r="H197" s="5">
        <v>200.84971999999999</v>
      </c>
      <c r="I197" s="5">
        <v>302.64879999999999</v>
      </c>
      <c r="J197" s="5">
        <v>440.49491</v>
      </c>
      <c r="K197" s="5">
        <v>688.27243999999996</v>
      </c>
      <c r="L197" s="5">
        <v>1147.8761999999999</v>
      </c>
      <c r="M197" s="5">
        <v>1588.0953400000001</v>
      </c>
    </row>
    <row r="198" spans="1:13" x14ac:dyDescent="0.25">
      <c r="A198" s="69">
        <v>42443</v>
      </c>
      <c r="B198" s="5">
        <v>174.38427999999999</v>
      </c>
      <c r="C198" s="5">
        <v>231.82324</v>
      </c>
      <c r="D198" s="5">
        <v>294.87200999999999</v>
      </c>
      <c r="E198" s="5">
        <v>414.45346999999998</v>
      </c>
      <c r="F198" s="5">
        <v>699.67835000000002</v>
      </c>
      <c r="G198" s="5">
        <v>0</v>
      </c>
      <c r="H198" s="5">
        <v>200.81781000000001</v>
      </c>
      <c r="I198" s="5">
        <v>297.59922</v>
      </c>
      <c r="J198" s="5">
        <v>422.76713999999998</v>
      </c>
      <c r="K198" s="5">
        <v>671.86220000000003</v>
      </c>
      <c r="L198" s="5">
        <v>1148.3311000000001</v>
      </c>
      <c r="M198" s="5">
        <v>1594.52154</v>
      </c>
    </row>
    <row r="199" spans="1:13" x14ac:dyDescent="0.25">
      <c r="A199" s="69">
        <v>42444</v>
      </c>
      <c r="B199" s="5">
        <v>177.02964</v>
      </c>
      <c r="C199" s="5">
        <v>232.59227000000001</v>
      </c>
      <c r="D199" s="5">
        <v>295.52838000000003</v>
      </c>
      <c r="E199" s="5">
        <v>415.35541000000001</v>
      </c>
      <c r="F199" s="5">
        <v>699.66</v>
      </c>
      <c r="G199" s="5">
        <v>0</v>
      </c>
      <c r="H199" s="5">
        <v>196.04969</v>
      </c>
      <c r="I199" s="5">
        <v>297.53323999999998</v>
      </c>
      <c r="J199" s="5">
        <v>422.76177000000001</v>
      </c>
      <c r="K199" s="5">
        <v>671.71888000000001</v>
      </c>
      <c r="L199" s="5">
        <v>1147.71245</v>
      </c>
      <c r="M199" s="5">
        <v>1594.2357999999999</v>
      </c>
    </row>
    <row r="200" spans="1:13" x14ac:dyDescent="0.25">
      <c r="A200" s="69">
        <v>42445</v>
      </c>
      <c r="B200" s="5">
        <v>177.8895</v>
      </c>
      <c r="C200" s="5">
        <v>233.69074000000001</v>
      </c>
      <c r="D200" s="5">
        <v>296.44468000000001</v>
      </c>
      <c r="E200" s="5">
        <v>414.95576999999997</v>
      </c>
      <c r="F200" s="5">
        <v>699.81056000000001</v>
      </c>
      <c r="G200" s="5">
        <v>0</v>
      </c>
      <c r="H200" s="5">
        <v>196.04791</v>
      </c>
      <c r="I200" s="5">
        <v>297.5231</v>
      </c>
      <c r="J200" s="5">
        <v>422.67788999999999</v>
      </c>
      <c r="K200" s="5">
        <v>671.54768999999999</v>
      </c>
      <c r="L200" s="5">
        <v>1112.7169200000001</v>
      </c>
      <c r="M200" s="5">
        <v>1517.53694</v>
      </c>
    </row>
    <row r="201" spans="1:13" x14ac:dyDescent="0.25">
      <c r="A201" s="69">
        <v>42446</v>
      </c>
      <c r="B201" s="5">
        <v>177.90010000000001</v>
      </c>
      <c r="C201" s="5">
        <v>233.61772999999999</v>
      </c>
      <c r="D201" s="5">
        <v>296.47665999999998</v>
      </c>
      <c r="E201" s="5">
        <v>415.75506000000001</v>
      </c>
      <c r="F201" s="5">
        <v>702.38521000000003</v>
      </c>
      <c r="G201" s="5">
        <v>0</v>
      </c>
      <c r="H201" s="5">
        <v>196.04942</v>
      </c>
      <c r="I201" s="5">
        <v>297.53044</v>
      </c>
      <c r="J201" s="5">
        <v>422.71413000000001</v>
      </c>
      <c r="K201" s="5">
        <v>671.42058999999995</v>
      </c>
      <c r="L201" s="5">
        <v>1109.99325</v>
      </c>
      <c r="M201" s="5">
        <v>1517.2990199999999</v>
      </c>
    </row>
    <row r="202" spans="1:13" x14ac:dyDescent="0.25">
      <c r="A202" s="69">
        <v>42447</v>
      </c>
      <c r="B202" s="5">
        <v>176.51929999999999</v>
      </c>
      <c r="C202" s="5">
        <v>232.07758999999999</v>
      </c>
      <c r="D202" s="5">
        <v>296.49639999999999</v>
      </c>
      <c r="E202" s="5">
        <v>415.76447999999999</v>
      </c>
      <c r="F202" s="5">
        <v>702.37023999999997</v>
      </c>
      <c r="G202" s="5">
        <v>0</v>
      </c>
      <c r="H202" s="5">
        <v>195.97352000000001</v>
      </c>
      <c r="I202" s="5">
        <v>297.35705999999999</v>
      </c>
      <c r="J202" s="5">
        <v>422.71107000000001</v>
      </c>
      <c r="K202" s="5">
        <v>671.21411999999998</v>
      </c>
      <c r="L202" s="5">
        <v>1046.77262</v>
      </c>
      <c r="M202" s="5">
        <v>1515.5772099999999</v>
      </c>
    </row>
    <row r="203" spans="1:13" x14ac:dyDescent="0.25">
      <c r="A203" s="69">
        <v>42450</v>
      </c>
      <c r="B203" s="5">
        <v>176.56005999999999</v>
      </c>
      <c r="C203" s="5">
        <v>232.57359</v>
      </c>
      <c r="D203" s="5">
        <v>296.51857999999999</v>
      </c>
      <c r="E203" s="5">
        <v>415.88882000000001</v>
      </c>
      <c r="F203" s="5">
        <v>702.32019000000003</v>
      </c>
      <c r="G203" s="5">
        <v>0</v>
      </c>
      <c r="H203" s="5">
        <v>189.65134</v>
      </c>
      <c r="I203" s="5">
        <v>297.35960999999998</v>
      </c>
      <c r="J203" s="5">
        <v>413.41298</v>
      </c>
      <c r="K203" s="5">
        <v>670.92430000000002</v>
      </c>
      <c r="L203" s="5">
        <v>1045.7208900000001</v>
      </c>
      <c r="M203" s="5">
        <v>1515.5227199999999</v>
      </c>
    </row>
    <row r="204" spans="1:13" x14ac:dyDescent="0.25">
      <c r="A204" s="69">
        <v>42451</v>
      </c>
      <c r="B204" s="5">
        <v>176.54776000000001</v>
      </c>
      <c r="C204" s="5">
        <v>232.58265</v>
      </c>
      <c r="D204" s="5">
        <v>296.54656</v>
      </c>
      <c r="E204" s="5">
        <v>415.88391000000001</v>
      </c>
      <c r="F204" s="5">
        <v>701.92444999999998</v>
      </c>
      <c r="G204" s="5">
        <v>0</v>
      </c>
      <c r="H204" s="5">
        <v>189.60544999999999</v>
      </c>
      <c r="I204" s="5">
        <v>277.14586000000003</v>
      </c>
      <c r="J204" s="5">
        <v>413.11577999999997</v>
      </c>
      <c r="K204" s="5">
        <v>670.57852000000003</v>
      </c>
      <c r="L204" s="5">
        <v>1045.5109500000001</v>
      </c>
      <c r="M204" s="5">
        <v>1515.47723</v>
      </c>
    </row>
    <row r="205" spans="1:13" x14ac:dyDescent="0.25">
      <c r="A205" s="69">
        <v>42452</v>
      </c>
      <c r="B205" s="5">
        <v>176.58457000000001</v>
      </c>
      <c r="C205" s="5">
        <v>232.62736000000001</v>
      </c>
      <c r="D205" s="5">
        <v>296.45184</v>
      </c>
      <c r="E205" s="5">
        <v>415.98901999999998</v>
      </c>
      <c r="F205" s="5">
        <v>702.27434000000005</v>
      </c>
      <c r="G205" s="5">
        <v>0</v>
      </c>
      <c r="H205" s="5">
        <v>184.92850999999999</v>
      </c>
      <c r="I205" s="5">
        <v>277.10455000000002</v>
      </c>
      <c r="J205" s="5">
        <v>412.97953000000001</v>
      </c>
      <c r="K205" s="5">
        <v>669.67952000000002</v>
      </c>
      <c r="L205" s="5">
        <v>1043.3022599999999</v>
      </c>
      <c r="M205" s="5">
        <v>1503.71101</v>
      </c>
    </row>
    <row r="206" spans="1:13" x14ac:dyDescent="0.25">
      <c r="A206" s="69">
        <v>42453</v>
      </c>
      <c r="B206" s="5">
        <v>176.6208</v>
      </c>
      <c r="C206" s="5">
        <v>232.64304999999999</v>
      </c>
      <c r="D206" s="5">
        <v>296.59545000000003</v>
      </c>
      <c r="E206" s="5">
        <v>416.72422</v>
      </c>
      <c r="F206" s="5">
        <v>703.35729000000003</v>
      </c>
      <c r="G206" s="5">
        <v>0</v>
      </c>
      <c r="H206" s="5">
        <v>184.85876999999999</v>
      </c>
      <c r="I206" s="5">
        <v>277.26312999999999</v>
      </c>
      <c r="J206" s="5">
        <v>407.2704</v>
      </c>
      <c r="K206" s="5">
        <v>669.14472999999998</v>
      </c>
      <c r="L206" s="5">
        <v>1016.75382</v>
      </c>
      <c r="M206" s="5">
        <v>1503.4716100000001</v>
      </c>
    </row>
    <row r="207" spans="1:13" x14ac:dyDescent="0.25">
      <c r="A207" s="69">
        <v>42457</v>
      </c>
      <c r="B207" s="5">
        <v>177.83738</v>
      </c>
      <c r="C207" s="5">
        <v>232.26204000000001</v>
      </c>
      <c r="D207" s="5">
        <v>296.67406</v>
      </c>
      <c r="E207" s="5">
        <v>416.81603999999999</v>
      </c>
      <c r="F207" s="5">
        <v>703.47297000000003</v>
      </c>
      <c r="G207" s="5">
        <v>0</v>
      </c>
      <c r="H207" s="5">
        <v>184.7071</v>
      </c>
      <c r="I207" s="5">
        <v>277.2627</v>
      </c>
      <c r="J207" s="5">
        <v>406.73313999999999</v>
      </c>
      <c r="K207" s="5">
        <v>636.85347000000002</v>
      </c>
      <c r="L207" s="5">
        <v>1015.94286</v>
      </c>
      <c r="M207" s="5">
        <v>1502.9014</v>
      </c>
    </row>
    <row r="208" spans="1:13" x14ac:dyDescent="0.25">
      <c r="A208" s="69">
        <v>42458</v>
      </c>
      <c r="B208" s="5">
        <v>177.89062000000001</v>
      </c>
      <c r="C208" s="5">
        <v>232.29445999999999</v>
      </c>
      <c r="D208" s="5">
        <v>296.76022999999998</v>
      </c>
      <c r="E208" s="5">
        <v>416.69463999999999</v>
      </c>
      <c r="F208" s="5">
        <v>703.49474999999995</v>
      </c>
      <c r="G208" s="5">
        <v>0</v>
      </c>
      <c r="H208" s="5">
        <v>184.25092000000001</v>
      </c>
      <c r="I208" s="5">
        <v>277.24059</v>
      </c>
      <c r="J208" s="5">
        <v>406.48244999999997</v>
      </c>
      <c r="K208" s="5">
        <v>636.43416000000002</v>
      </c>
      <c r="L208" s="5">
        <v>1015.01993</v>
      </c>
      <c r="M208" s="5">
        <v>1501.5015000000001</v>
      </c>
    </row>
    <row r="209" spans="1:13" x14ac:dyDescent="0.25">
      <c r="A209" s="69">
        <v>42459</v>
      </c>
      <c r="B209" s="5">
        <v>177.63839999999999</v>
      </c>
      <c r="C209" s="5">
        <v>232.31703999999999</v>
      </c>
      <c r="D209" s="5">
        <v>296.81639999999999</v>
      </c>
      <c r="E209" s="5">
        <v>416.20501999999999</v>
      </c>
      <c r="F209" s="5">
        <v>703.20600000000002</v>
      </c>
      <c r="G209" s="5">
        <v>0</v>
      </c>
      <c r="H209" s="5">
        <v>183.75566000000001</v>
      </c>
      <c r="I209" s="5">
        <v>276.68056000000001</v>
      </c>
      <c r="J209" s="5">
        <v>405.84235999999999</v>
      </c>
      <c r="K209" s="5">
        <v>636.47324000000003</v>
      </c>
      <c r="L209" s="5">
        <v>1012.08613</v>
      </c>
      <c r="M209" s="5">
        <v>1500.19028</v>
      </c>
    </row>
    <row r="210" spans="1:13" x14ac:dyDescent="0.25">
      <c r="A210" s="69">
        <v>42460</v>
      </c>
      <c r="B210" s="5">
        <v>177.63575</v>
      </c>
      <c r="C210" s="5">
        <v>232.33035000000001</v>
      </c>
      <c r="D210" s="5">
        <v>296.80723</v>
      </c>
      <c r="E210" s="5">
        <v>415.78390999999999</v>
      </c>
      <c r="F210" s="5">
        <v>701.42273999999998</v>
      </c>
      <c r="G210" s="5">
        <v>0</v>
      </c>
      <c r="H210" s="5">
        <v>178.73235</v>
      </c>
      <c r="I210" s="5">
        <v>276.43677000000002</v>
      </c>
      <c r="J210" s="5">
        <v>405.57488999999998</v>
      </c>
      <c r="K210" s="5">
        <v>635.22123999999997</v>
      </c>
      <c r="L210" s="5">
        <v>985.47028</v>
      </c>
      <c r="M210" s="5">
        <v>1428.2630300000001</v>
      </c>
    </row>
    <row r="211" spans="1:13" x14ac:dyDescent="0.25">
      <c r="A211" s="69">
        <v>42461</v>
      </c>
      <c r="B211" s="5">
        <v>177.63221999999999</v>
      </c>
      <c r="C211" s="5">
        <v>232.34327999999999</v>
      </c>
      <c r="D211" s="5">
        <v>296.71512000000001</v>
      </c>
      <c r="E211" s="5">
        <v>413.74005</v>
      </c>
      <c r="F211" s="5">
        <v>698.03450999999995</v>
      </c>
      <c r="G211" s="5">
        <v>0</v>
      </c>
      <c r="H211" s="5">
        <v>178.69954000000001</v>
      </c>
      <c r="I211" s="5">
        <v>276.39416999999997</v>
      </c>
      <c r="J211" s="5">
        <v>405.53615000000002</v>
      </c>
      <c r="K211" s="5">
        <v>635.06164999999999</v>
      </c>
      <c r="L211" s="5">
        <v>985.26969999999994</v>
      </c>
      <c r="M211" s="5">
        <v>1427.78043</v>
      </c>
    </row>
    <row r="212" spans="1:13" x14ac:dyDescent="0.25">
      <c r="A212" s="69">
        <v>42464</v>
      </c>
      <c r="B212" s="5">
        <v>177.66797</v>
      </c>
      <c r="C212" s="5">
        <v>232.47830999999999</v>
      </c>
      <c r="D212" s="5">
        <v>296.73318999999998</v>
      </c>
      <c r="E212" s="5">
        <v>413.75745999999998</v>
      </c>
      <c r="F212" s="5">
        <v>692.14278999999999</v>
      </c>
      <c r="G212" s="5">
        <v>0</v>
      </c>
      <c r="H212" s="5">
        <v>178.70502999999999</v>
      </c>
      <c r="I212" s="5">
        <v>276.34401000000003</v>
      </c>
      <c r="J212" s="5">
        <v>405.40785</v>
      </c>
      <c r="K212" s="5">
        <v>633.16188999999997</v>
      </c>
      <c r="L212" s="5">
        <v>985.00156000000004</v>
      </c>
      <c r="M212" s="5">
        <v>1427.7074399999999</v>
      </c>
    </row>
    <row r="213" spans="1:13" x14ac:dyDescent="0.25">
      <c r="A213" s="69">
        <v>42465</v>
      </c>
      <c r="B213" s="5">
        <v>177.56886</v>
      </c>
      <c r="C213" s="5">
        <v>231.5694</v>
      </c>
      <c r="D213" s="5">
        <v>296.74840999999998</v>
      </c>
      <c r="E213" s="5">
        <v>413.76866000000001</v>
      </c>
      <c r="F213" s="5">
        <v>692.12602000000004</v>
      </c>
      <c r="G213" s="5">
        <v>0</v>
      </c>
      <c r="H213" s="5">
        <v>178.63874999999999</v>
      </c>
      <c r="I213" s="5">
        <v>276.34334000000001</v>
      </c>
      <c r="J213" s="5">
        <v>405.32143000000002</v>
      </c>
      <c r="K213" s="5">
        <v>630.96763999999996</v>
      </c>
      <c r="L213" s="5">
        <v>982.62483999999995</v>
      </c>
      <c r="M213" s="5">
        <v>1427.3248699999999</v>
      </c>
    </row>
    <row r="214" spans="1:13" x14ac:dyDescent="0.25">
      <c r="A214" s="69">
        <v>42466</v>
      </c>
      <c r="B214" s="5">
        <v>177.57024999999999</v>
      </c>
      <c r="C214" s="5">
        <v>231.60132999999999</v>
      </c>
      <c r="D214" s="5">
        <v>296.78393</v>
      </c>
      <c r="E214" s="5">
        <v>413.82898</v>
      </c>
      <c r="F214" s="5">
        <v>694.11122</v>
      </c>
      <c r="G214" s="5">
        <v>0</v>
      </c>
      <c r="H214" s="5">
        <v>178.62533999999999</v>
      </c>
      <c r="I214" s="5">
        <v>276.32481000000001</v>
      </c>
      <c r="J214" s="5">
        <v>405.19461999999999</v>
      </c>
      <c r="K214" s="5">
        <v>582.48131000000001</v>
      </c>
      <c r="L214" s="5">
        <v>981.33217999999999</v>
      </c>
      <c r="M214" s="5">
        <v>1427.55476</v>
      </c>
    </row>
    <row r="215" spans="1:13" x14ac:dyDescent="0.25">
      <c r="A215" s="69">
        <v>42467</v>
      </c>
      <c r="B215" s="5">
        <v>177.52682999999999</v>
      </c>
      <c r="C215" s="5">
        <v>231.67588000000001</v>
      </c>
      <c r="D215" s="5">
        <v>296.80038000000002</v>
      </c>
      <c r="E215" s="5">
        <v>413.79261000000002</v>
      </c>
      <c r="F215" s="5">
        <v>694.83466999999996</v>
      </c>
      <c r="G215" s="5">
        <v>0</v>
      </c>
      <c r="H215" s="5">
        <v>178.51589000000001</v>
      </c>
      <c r="I215" s="5">
        <v>276.09388000000001</v>
      </c>
      <c r="J215" s="5">
        <v>395.93608</v>
      </c>
      <c r="K215" s="5">
        <v>582.68399999999997</v>
      </c>
      <c r="L215" s="5">
        <v>951.71479999999997</v>
      </c>
      <c r="M215" s="5">
        <v>1425.8251700000001</v>
      </c>
    </row>
    <row r="216" spans="1:13" x14ac:dyDescent="0.25">
      <c r="A216" s="69">
        <v>42468</v>
      </c>
      <c r="B216" s="5">
        <v>177.46382</v>
      </c>
      <c r="C216" s="5">
        <v>231.61526000000001</v>
      </c>
      <c r="D216" s="5">
        <v>296.79552000000001</v>
      </c>
      <c r="E216" s="5">
        <v>413.80840999999998</v>
      </c>
      <c r="F216" s="5">
        <v>696.02571999999998</v>
      </c>
      <c r="G216" s="5">
        <v>0</v>
      </c>
      <c r="H216" s="5">
        <v>178.44489999999999</v>
      </c>
      <c r="I216" s="5">
        <v>276.09323000000001</v>
      </c>
      <c r="J216" s="5">
        <v>395.98536999999999</v>
      </c>
      <c r="K216" s="5">
        <v>582.80669</v>
      </c>
      <c r="L216" s="5">
        <v>951.11878999999999</v>
      </c>
      <c r="M216" s="5">
        <v>1425.7004400000001</v>
      </c>
    </row>
    <row r="217" spans="1:13" x14ac:dyDescent="0.25">
      <c r="A217" s="69">
        <v>42471</v>
      </c>
      <c r="B217" s="5">
        <v>177.44556</v>
      </c>
      <c r="C217" s="5">
        <v>231.62702999999999</v>
      </c>
      <c r="D217" s="5">
        <v>298.25227999999998</v>
      </c>
      <c r="E217" s="5">
        <v>416.54723000000001</v>
      </c>
      <c r="F217" s="5">
        <v>696.06083000000001</v>
      </c>
      <c r="G217" s="5">
        <v>0</v>
      </c>
      <c r="H217" s="5">
        <v>178.38057000000001</v>
      </c>
      <c r="I217" s="5">
        <v>276.00421</v>
      </c>
      <c r="J217" s="5">
        <v>395.94540999999998</v>
      </c>
      <c r="K217" s="5">
        <v>582.73341000000005</v>
      </c>
      <c r="L217" s="5">
        <v>950.68847000000005</v>
      </c>
      <c r="M217" s="5">
        <v>1425.7526</v>
      </c>
    </row>
    <row r="218" spans="1:13" x14ac:dyDescent="0.25">
      <c r="A218" s="69">
        <v>42472</v>
      </c>
      <c r="B218" s="5">
        <v>177.40527</v>
      </c>
      <c r="C218" s="5">
        <v>231.63660999999999</v>
      </c>
      <c r="D218" s="5">
        <v>298.24392</v>
      </c>
      <c r="E218" s="5">
        <v>416.46973000000003</v>
      </c>
      <c r="F218" s="5">
        <v>696.10463000000004</v>
      </c>
      <c r="G218" s="5">
        <v>0</v>
      </c>
      <c r="H218" s="5">
        <v>178.35732999999999</v>
      </c>
      <c r="I218" s="5">
        <v>275.87891999999999</v>
      </c>
      <c r="J218" s="5">
        <v>395.96519999999998</v>
      </c>
      <c r="K218" s="5">
        <v>582.62447999999995</v>
      </c>
      <c r="L218" s="5">
        <v>950.29078000000004</v>
      </c>
      <c r="M218" s="5">
        <v>1425.7452499999999</v>
      </c>
    </row>
    <row r="219" spans="1:13" x14ac:dyDescent="0.25">
      <c r="A219" s="69">
        <v>42473</v>
      </c>
      <c r="B219" s="5">
        <v>176.28922</v>
      </c>
      <c r="C219" s="5">
        <v>231.68743000000001</v>
      </c>
      <c r="D219" s="5">
        <v>298.31849</v>
      </c>
      <c r="E219" s="5">
        <v>416.50583999999998</v>
      </c>
      <c r="F219" s="5">
        <v>696.68373999999994</v>
      </c>
      <c r="G219" s="5">
        <v>0</v>
      </c>
      <c r="H219" s="5">
        <v>177.93298999999999</v>
      </c>
      <c r="I219" s="5">
        <v>275.82810999999998</v>
      </c>
      <c r="J219" s="5">
        <v>395.92435</v>
      </c>
      <c r="K219" s="5">
        <v>582.61343999999997</v>
      </c>
      <c r="L219" s="5">
        <v>948.93651999999997</v>
      </c>
      <c r="M219" s="5">
        <v>1425.59076</v>
      </c>
    </row>
    <row r="220" spans="1:13" x14ac:dyDescent="0.25">
      <c r="A220" s="69">
        <v>42474</v>
      </c>
      <c r="B220" s="5">
        <v>176.20792</v>
      </c>
      <c r="C220" s="5">
        <v>230.75565</v>
      </c>
      <c r="D220" s="5">
        <v>297.96147000000002</v>
      </c>
      <c r="E220" s="5">
        <v>416.52433000000002</v>
      </c>
      <c r="F220" s="5">
        <v>696.69785000000002</v>
      </c>
      <c r="G220" s="5">
        <v>0</v>
      </c>
      <c r="H220" s="5">
        <v>177.85419999999999</v>
      </c>
      <c r="I220" s="5">
        <v>245.27265</v>
      </c>
      <c r="J220" s="5">
        <v>395.75835999999998</v>
      </c>
      <c r="K220" s="5">
        <v>582.47488999999996</v>
      </c>
      <c r="L220" s="5">
        <v>948.18241</v>
      </c>
      <c r="M220" s="5">
        <v>1425.0597499999999</v>
      </c>
    </row>
    <row r="221" spans="1:13" x14ac:dyDescent="0.25">
      <c r="A221" s="69">
        <v>42475</v>
      </c>
      <c r="B221" s="5">
        <v>175.90413000000001</v>
      </c>
      <c r="C221" s="5">
        <v>231.09574000000001</v>
      </c>
      <c r="D221" s="5">
        <v>297.87434000000002</v>
      </c>
      <c r="E221" s="5">
        <v>416.53127000000001</v>
      </c>
      <c r="F221" s="5">
        <v>696.46092999999996</v>
      </c>
      <c r="G221" s="5">
        <v>0</v>
      </c>
      <c r="H221" s="5">
        <v>163.5993</v>
      </c>
      <c r="I221" s="5">
        <v>245.33475999999999</v>
      </c>
      <c r="J221" s="5">
        <v>395.49811999999997</v>
      </c>
      <c r="K221" s="5">
        <v>582.38661000000002</v>
      </c>
      <c r="L221" s="5">
        <v>929.27459999999996</v>
      </c>
      <c r="M221" s="5">
        <v>1422.07395</v>
      </c>
    </row>
    <row r="222" spans="1:13" x14ac:dyDescent="0.25">
      <c r="A222" s="69">
        <v>42478</v>
      </c>
      <c r="B222" s="5">
        <v>175.49630999999999</v>
      </c>
      <c r="C222" s="5">
        <v>231.19254000000001</v>
      </c>
      <c r="D222" s="5">
        <v>296.57697000000002</v>
      </c>
      <c r="E222" s="5">
        <v>414.11101000000002</v>
      </c>
      <c r="F222" s="5">
        <v>696.86452999999995</v>
      </c>
      <c r="G222" s="5">
        <v>0</v>
      </c>
      <c r="H222" s="5">
        <v>164.16210000000001</v>
      </c>
      <c r="I222" s="5">
        <v>245.43106</v>
      </c>
      <c r="J222" s="5">
        <v>395.44197000000003</v>
      </c>
      <c r="K222" s="5">
        <v>582.21597999999994</v>
      </c>
      <c r="L222" s="5">
        <v>929.15391999999997</v>
      </c>
      <c r="M222" s="5">
        <v>1422.1512399999999</v>
      </c>
    </row>
    <row r="223" spans="1:13" x14ac:dyDescent="0.25">
      <c r="A223" s="69">
        <v>42479</v>
      </c>
      <c r="B223" s="5">
        <v>174.86895999999999</v>
      </c>
      <c r="C223" s="5">
        <v>231.22531000000001</v>
      </c>
      <c r="D223" s="5">
        <v>296.69101999999998</v>
      </c>
      <c r="E223" s="5">
        <v>414.22055</v>
      </c>
      <c r="F223" s="5">
        <v>696.80971999999997</v>
      </c>
      <c r="G223" s="5">
        <v>0</v>
      </c>
      <c r="H223" s="5">
        <v>164.37376</v>
      </c>
      <c r="I223" s="5">
        <v>245.52737999999999</v>
      </c>
      <c r="J223" s="5">
        <v>395.73165999999998</v>
      </c>
      <c r="K223" s="5">
        <v>582.08813999999995</v>
      </c>
      <c r="L223" s="5">
        <v>928.89900999999998</v>
      </c>
      <c r="M223" s="5">
        <v>1421.7552900000001</v>
      </c>
    </row>
    <row r="224" spans="1:13" x14ac:dyDescent="0.25">
      <c r="A224" s="69">
        <v>42480</v>
      </c>
      <c r="B224" s="5">
        <v>174.68808999999999</v>
      </c>
      <c r="C224" s="5">
        <v>230.47006999999999</v>
      </c>
      <c r="D224" s="5">
        <v>295.05286000000001</v>
      </c>
      <c r="E224" s="5">
        <v>407.92383999999998</v>
      </c>
      <c r="F224" s="5">
        <v>697.14649999999995</v>
      </c>
      <c r="G224" s="5">
        <v>0</v>
      </c>
      <c r="H224" s="5">
        <v>166.42671000000001</v>
      </c>
      <c r="I224" s="5">
        <v>249.95689999999999</v>
      </c>
      <c r="J224" s="5">
        <v>398.57562000000001</v>
      </c>
      <c r="K224" s="5">
        <v>582.08326999999997</v>
      </c>
      <c r="L224" s="5">
        <v>928.12332000000004</v>
      </c>
      <c r="M224" s="5">
        <v>1421.8986399999999</v>
      </c>
    </row>
    <row r="225" spans="1:13" x14ac:dyDescent="0.25">
      <c r="A225" s="69">
        <v>42481</v>
      </c>
      <c r="B225" s="5">
        <v>174.17169999999999</v>
      </c>
      <c r="C225" s="5">
        <v>230.48002</v>
      </c>
      <c r="D225" s="5">
        <v>295.20443999999998</v>
      </c>
      <c r="E225" s="5">
        <v>408.40433999999999</v>
      </c>
      <c r="F225" s="5">
        <v>697.19599000000005</v>
      </c>
      <c r="G225" s="5">
        <v>0</v>
      </c>
      <c r="H225" s="5">
        <v>166.4444</v>
      </c>
      <c r="I225" s="5">
        <v>249.85998000000001</v>
      </c>
      <c r="J225" s="5">
        <v>398.48441000000003</v>
      </c>
      <c r="K225" s="5">
        <v>582.03778999999997</v>
      </c>
      <c r="L225" s="5">
        <v>927.91740000000004</v>
      </c>
      <c r="M225" s="5">
        <v>1421.60943</v>
      </c>
    </row>
    <row r="226" spans="1:13" x14ac:dyDescent="0.25">
      <c r="A226" s="69">
        <v>42482</v>
      </c>
      <c r="B226" s="5">
        <v>173.91424000000001</v>
      </c>
      <c r="C226" s="5">
        <v>230.27941999999999</v>
      </c>
      <c r="D226" s="5">
        <v>295.43112000000002</v>
      </c>
      <c r="E226" s="5">
        <v>408.87403</v>
      </c>
      <c r="F226" s="5">
        <v>697.34508000000005</v>
      </c>
      <c r="G226" s="5">
        <v>0</v>
      </c>
      <c r="H226" s="5">
        <v>166.452</v>
      </c>
      <c r="I226" s="5">
        <v>249.86393000000001</v>
      </c>
      <c r="J226" s="5">
        <v>398.60028999999997</v>
      </c>
      <c r="K226" s="5">
        <v>581.87343999999996</v>
      </c>
      <c r="L226" s="5">
        <v>927.98030000000006</v>
      </c>
      <c r="M226" s="5">
        <v>1420.6027300000001</v>
      </c>
    </row>
    <row r="227" spans="1:13" x14ac:dyDescent="0.25">
      <c r="A227" s="69">
        <v>42485</v>
      </c>
      <c r="B227" s="5">
        <v>174.05020999999999</v>
      </c>
      <c r="C227" s="5">
        <v>229.43268</v>
      </c>
      <c r="D227" s="5">
        <v>295.47768000000002</v>
      </c>
      <c r="E227" s="5">
        <v>408.86923000000002</v>
      </c>
      <c r="F227" s="5">
        <v>697.37518999999998</v>
      </c>
      <c r="G227" s="5">
        <v>0</v>
      </c>
      <c r="H227" s="5">
        <v>166.28609</v>
      </c>
      <c r="I227" s="5">
        <v>249.86706000000001</v>
      </c>
      <c r="J227" s="5">
        <v>398.62648000000002</v>
      </c>
      <c r="K227" s="5">
        <v>581.89783</v>
      </c>
      <c r="L227" s="5">
        <v>927.62932999999998</v>
      </c>
      <c r="M227" s="5">
        <v>1420.5443600000001</v>
      </c>
    </row>
    <row r="228" spans="1:13" x14ac:dyDescent="0.25">
      <c r="A228" s="69">
        <v>42486</v>
      </c>
      <c r="B228" s="5">
        <v>174.40002000000001</v>
      </c>
      <c r="C228" s="5">
        <v>230.77454</v>
      </c>
      <c r="D228" s="5">
        <v>295.39114000000001</v>
      </c>
      <c r="E228" s="5">
        <v>408.70154000000002</v>
      </c>
      <c r="F228" s="5">
        <v>697.44099000000006</v>
      </c>
      <c r="G228" s="5">
        <v>0</v>
      </c>
      <c r="H228" s="5">
        <v>166.28858</v>
      </c>
      <c r="I228" s="5">
        <v>249.87271999999999</v>
      </c>
      <c r="J228" s="5">
        <v>398.63121000000001</v>
      </c>
      <c r="K228" s="5">
        <v>581.9194</v>
      </c>
      <c r="L228" s="5">
        <v>927.47897999999998</v>
      </c>
      <c r="M228" s="5">
        <v>1419.12318</v>
      </c>
    </row>
    <row r="229" spans="1:13" x14ac:dyDescent="0.25">
      <c r="A229" s="69">
        <v>42487</v>
      </c>
      <c r="B229" s="5">
        <v>173.68946</v>
      </c>
      <c r="C229" s="5">
        <v>230.66448</v>
      </c>
      <c r="D229" s="5">
        <v>295.04856999999998</v>
      </c>
      <c r="E229" s="5">
        <v>408.07150000000001</v>
      </c>
      <c r="F229" s="5">
        <v>697.54688999999996</v>
      </c>
      <c r="G229" s="5">
        <v>0</v>
      </c>
      <c r="H229" s="5">
        <v>166.28790000000001</v>
      </c>
      <c r="I229" s="5">
        <v>249.90774999999999</v>
      </c>
      <c r="J229" s="5">
        <v>395.53116999999997</v>
      </c>
      <c r="K229" s="5">
        <v>542.49549000000002</v>
      </c>
      <c r="L229" s="5">
        <v>911.77333999999996</v>
      </c>
      <c r="M229" s="5">
        <v>1409.5450900000001</v>
      </c>
    </row>
    <row r="230" spans="1:13" x14ac:dyDescent="0.25">
      <c r="A230" s="69">
        <v>42488</v>
      </c>
      <c r="B230" s="5">
        <v>172.78366</v>
      </c>
      <c r="C230" s="5">
        <v>227.50115</v>
      </c>
      <c r="D230" s="5">
        <v>292.58287000000001</v>
      </c>
      <c r="E230" s="5">
        <v>406.28669000000002</v>
      </c>
      <c r="F230" s="5">
        <v>693.28458999999998</v>
      </c>
      <c r="G230" s="5">
        <v>0</v>
      </c>
      <c r="H230" s="5">
        <v>166.29776000000001</v>
      </c>
      <c r="I230" s="5">
        <v>249.62576000000001</v>
      </c>
      <c r="J230" s="5">
        <v>375.96368000000001</v>
      </c>
      <c r="K230" s="5">
        <v>541.80838000000006</v>
      </c>
      <c r="L230" s="5">
        <v>910.78025000000002</v>
      </c>
      <c r="M230" s="5">
        <v>1408.9806000000001</v>
      </c>
    </row>
    <row r="231" spans="1:13" x14ac:dyDescent="0.25">
      <c r="A231" s="69">
        <v>42489</v>
      </c>
      <c r="B231" s="5">
        <v>171.572</v>
      </c>
      <c r="C231" s="5">
        <v>226.14903000000001</v>
      </c>
      <c r="D231" s="5">
        <v>291.03741000000002</v>
      </c>
      <c r="E231" s="5">
        <v>404.48797999999999</v>
      </c>
      <c r="F231" s="5">
        <v>692.57176000000004</v>
      </c>
      <c r="G231" s="5">
        <v>0</v>
      </c>
      <c r="H231" s="5">
        <v>166.30036000000001</v>
      </c>
      <c r="I231" s="5">
        <v>249.54623000000001</v>
      </c>
      <c r="J231" s="5">
        <v>375.66528</v>
      </c>
      <c r="K231" s="5">
        <v>540.88162</v>
      </c>
      <c r="L231" s="5">
        <v>909.73464999999999</v>
      </c>
      <c r="M231" s="5">
        <v>1372.6477199999999</v>
      </c>
    </row>
    <row r="232" spans="1:13" x14ac:dyDescent="0.25">
      <c r="A232" s="69">
        <v>42492</v>
      </c>
      <c r="B232" s="5">
        <v>172.47333</v>
      </c>
      <c r="C232" s="5">
        <v>225.91854000000001</v>
      </c>
      <c r="D232" s="5">
        <v>290.20753999999999</v>
      </c>
      <c r="E232" s="5">
        <v>403.03005000000002</v>
      </c>
      <c r="F232" s="5">
        <v>693.03102999999999</v>
      </c>
      <c r="G232" s="5">
        <v>0</v>
      </c>
      <c r="H232" s="5">
        <v>166.39015000000001</v>
      </c>
      <c r="I232" s="5">
        <v>249.24542</v>
      </c>
      <c r="J232" s="5">
        <v>375.62275</v>
      </c>
      <c r="K232" s="5">
        <v>540.84189000000003</v>
      </c>
      <c r="L232" s="5">
        <v>909.52155000000005</v>
      </c>
      <c r="M232" s="5">
        <v>1372.24262</v>
      </c>
    </row>
    <row r="233" spans="1:13" x14ac:dyDescent="0.25">
      <c r="A233" s="69">
        <v>42493</v>
      </c>
      <c r="B233" s="5">
        <v>172.48899</v>
      </c>
      <c r="C233" s="5">
        <v>226.03796</v>
      </c>
      <c r="D233" s="5">
        <v>290.09643999999997</v>
      </c>
      <c r="E233" s="5">
        <v>403.04754000000003</v>
      </c>
      <c r="F233" s="5">
        <v>692.97595000000001</v>
      </c>
      <c r="G233" s="5">
        <v>0</v>
      </c>
      <c r="H233" s="5">
        <v>166.46413999999999</v>
      </c>
      <c r="I233" s="5">
        <v>249.12440000000001</v>
      </c>
      <c r="J233" s="5">
        <v>375.42791</v>
      </c>
      <c r="K233" s="5">
        <v>540.45561999999995</v>
      </c>
      <c r="L233" s="5">
        <v>908.76364999999998</v>
      </c>
      <c r="M233" s="5">
        <v>1371.1925200000001</v>
      </c>
    </row>
    <row r="234" spans="1:13" x14ac:dyDescent="0.25">
      <c r="A234" s="69">
        <v>42494</v>
      </c>
      <c r="B234" s="5">
        <v>172.71608000000001</v>
      </c>
      <c r="C234" s="5">
        <v>225.89882</v>
      </c>
      <c r="D234" s="5">
        <v>289.58321999999998</v>
      </c>
      <c r="E234" s="5">
        <v>401.52361999999999</v>
      </c>
      <c r="F234" s="5">
        <v>686.82257000000004</v>
      </c>
      <c r="G234" s="5">
        <v>0</v>
      </c>
      <c r="H234" s="5">
        <v>166.45762999999999</v>
      </c>
      <c r="I234" s="5">
        <v>249.13400999999999</v>
      </c>
      <c r="J234" s="5">
        <v>375.36372</v>
      </c>
      <c r="K234" s="5">
        <v>540.23648000000003</v>
      </c>
      <c r="L234" s="5">
        <v>908.70510000000002</v>
      </c>
      <c r="M234" s="5">
        <v>1370.06133</v>
      </c>
    </row>
    <row r="235" spans="1:13" x14ac:dyDescent="0.25">
      <c r="A235" s="69">
        <v>42495</v>
      </c>
      <c r="B235" s="5">
        <v>172.69508999999999</v>
      </c>
      <c r="C235" s="5">
        <v>225.42829</v>
      </c>
      <c r="D235" s="5">
        <v>289.12588</v>
      </c>
      <c r="E235" s="5">
        <v>399.31977999999998</v>
      </c>
      <c r="F235" s="5">
        <v>686.34586999999999</v>
      </c>
      <c r="G235" s="5">
        <v>0</v>
      </c>
      <c r="H235" s="5">
        <v>166.44959</v>
      </c>
      <c r="I235" s="5">
        <v>249.07091</v>
      </c>
      <c r="J235" s="5">
        <v>374.72129000000001</v>
      </c>
      <c r="K235" s="5">
        <v>540.18583999999998</v>
      </c>
      <c r="L235" s="5">
        <v>908.46637999999996</v>
      </c>
      <c r="M235" s="5">
        <v>1369.8097</v>
      </c>
    </row>
    <row r="236" spans="1:13" x14ac:dyDescent="0.25">
      <c r="A236" s="69">
        <v>42496</v>
      </c>
      <c r="B236" s="5">
        <v>172.72118</v>
      </c>
      <c r="C236" s="5">
        <v>225.44499999999999</v>
      </c>
      <c r="D236" s="5">
        <v>289.13801000000001</v>
      </c>
      <c r="E236" s="5">
        <v>399.10672</v>
      </c>
      <c r="F236" s="5">
        <v>686.73713999999995</v>
      </c>
      <c r="G236" s="5">
        <v>0</v>
      </c>
      <c r="H236" s="5">
        <v>166.45012</v>
      </c>
      <c r="I236" s="5">
        <v>249.07626999999999</v>
      </c>
      <c r="J236" s="5">
        <v>374.69920000000002</v>
      </c>
      <c r="K236" s="5">
        <v>540.17498999999998</v>
      </c>
      <c r="L236" s="5">
        <v>908.29876999999999</v>
      </c>
      <c r="M236" s="5">
        <v>1369.8585499999999</v>
      </c>
    </row>
    <row r="237" spans="1:13" x14ac:dyDescent="0.25">
      <c r="A237" s="69">
        <v>42499</v>
      </c>
      <c r="B237" s="5">
        <v>172.62114</v>
      </c>
      <c r="C237" s="5">
        <v>225.36903000000001</v>
      </c>
      <c r="D237" s="5">
        <v>289.22259000000003</v>
      </c>
      <c r="E237" s="5">
        <v>399.06765000000001</v>
      </c>
      <c r="F237" s="5">
        <v>686.61522000000002</v>
      </c>
      <c r="G237" s="5">
        <v>0</v>
      </c>
      <c r="H237" s="5">
        <v>166.43414000000001</v>
      </c>
      <c r="I237" s="5">
        <v>249.08011999999999</v>
      </c>
      <c r="J237" s="5">
        <v>374.54153000000002</v>
      </c>
      <c r="K237" s="5">
        <v>540.16800999999998</v>
      </c>
      <c r="L237" s="5">
        <v>908.90462000000002</v>
      </c>
      <c r="M237" s="5">
        <v>1369.4223199999999</v>
      </c>
    </row>
    <row r="238" spans="1:13" x14ac:dyDescent="0.25">
      <c r="A238" s="69">
        <v>42500</v>
      </c>
      <c r="B238" s="5">
        <v>172.54374000000001</v>
      </c>
      <c r="C238" s="5">
        <v>224.76746</v>
      </c>
      <c r="D238" s="5">
        <v>288.62894999999997</v>
      </c>
      <c r="E238" s="5">
        <v>398.16654</v>
      </c>
      <c r="F238" s="5">
        <v>687.58866</v>
      </c>
      <c r="G238" s="5">
        <v>0</v>
      </c>
      <c r="H238" s="5">
        <v>166.43609000000001</v>
      </c>
      <c r="I238" s="5">
        <v>249.084</v>
      </c>
      <c r="J238" s="5">
        <v>374.21211</v>
      </c>
      <c r="K238" s="5">
        <v>540.11950000000002</v>
      </c>
      <c r="L238" s="5">
        <v>909.28875000000005</v>
      </c>
      <c r="M238" s="5">
        <v>1369.48107</v>
      </c>
    </row>
    <row r="239" spans="1:13" x14ac:dyDescent="0.25">
      <c r="A239" s="69">
        <v>42501</v>
      </c>
      <c r="B239" s="5">
        <v>170.85364999999999</v>
      </c>
      <c r="C239" s="5">
        <v>225.20638</v>
      </c>
      <c r="D239" s="5">
        <v>288.36212</v>
      </c>
      <c r="E239" s="5">
        <v>397.53730000000002</v>
      </c>
      <c r="F239" s="5">
        <v>686.67487000000006</v>
      </c>
      <c r="G239" s="5">
        <v>0</v>
      </c>
      <c r="H239" s="5">
        <v>166.40643</v>
      </c>
      <c r="I239" s="5">
        <v>249.09184999999999</v>
      </c>
      <c r="J239" s="5">
        <v>373.92160000000001</v>
      </c>
      <c r="K239" s="5">
        <v>540.02256</v>
      </c>
      <c r="L239" s="5">
        <v>909.96095000000003</v>
      </c>
      <c r="M239" s="5">
        <v>1369.3177800000001</v>
      </c>
    </row>
    <row r="240" spans="1:13" x14ac:dyDescent="0.25">
      <c r="A240" s="69">
        <v>42502</v>
      </c>
      <c r="B240" s="5">
        <v>171.70345</v>
      </c>
      <c r="C240" s="5">
        <v>224.00883999999999</v>
      </c>
      <c r="D240" s="5">
        <v>287.54027000000002</v>
      </c>
      <c r="E240" s="5">
        <v>397.72496999999998</v>
      </c>
      <c r="F240" s="5">
        <v>686.38810999999998</v>
      </c>
      <c r="G240" s="5">
        <v>0</v>
      </c>
      <c r="H240" s="5">
        <v>166.26804999999999</v>
      </c>
      <c r="I240" s="5">
        <v>249.00429</v>
      </c>
      <c r="J240" s="5">
        <v>373.43423000000001</v>
      </c>
      <c r="K240" s="5">
        <v>540.06119000000001</v>
      </c>
      <c r="L240" s="5">
        <v>910.35065999999995</v>
      </c>
      <c r="M240" s="5">
        <v>1369.4025300000001</v>
      </c>
    </row>
    <row r="241" spans="1:13" x14ac:dyDescent="0.25">
      <c r="A241" s="69">
        <v>42503</v>
      </c>
      <c r="B241" s="5">
        <v>169.95007000000001</v>
      </c>
      <c r="C241" s="5">
        <v>224.01401000000001</v>
      </c>
      <c r="D241" s="5">
        <v>287.38589999999999</v>
      </c>
      <c r="E241" s="5">
        <v>398.08681999999999</v>
      </c>
      <c r="F241" s="5">
        <v>686.15809999999999</v>
      </c>
      <c r="G241" s="5">
        <v>0</v>
      </c>
      <c r="H241" s="5">
        <v>166.1985</v>
      </c>
      <c r="I241" s="5">
        <v>248.73884000000001</v>
      </c>
      <c r="J241" s="5">
        <v>373.46863999999999</v>
      </c>
      <c r="K241" s="5">
        <v>539.86806000000001</v>
      </c>
      <c r="L241" s="5">
        <v>910.19879000000003</v>
      </c>
      <c r="M241" s="5">
        <v>1369.3318200000001</v>
      </c>
    </row>
    <row r="242" spans="1:13" x14ac:dyDescent="0.25">
      <c r="A242" s="69">
        <v>42506</v>
      </c>
      <c r="B242" s="5">
        <v>169.96741</v>
      </c>
      <c r="C242" s="5">
        <v>224.08165</v>
      </c>
      <c r="D242" s="5">
        <v>287.65827000000002</v>
      </c>
      <c r="E242" s="5">
        <v>398.69006999999999</v>
      </c>
      <c r="F242" s="5">
        <v>687.05478000000005</v>
      </c>
      <c r="G242" s="5">
        <v>0</v>
      </c>
      <c r="H242" s="5">
        <v>166.20418000000001</v>
      </c>
      <c r="I242" s="5">
        <v>248.74489</v>
      </c>
      <c r="J242" s="5">
        <v>373.48790000000002</v>
      </c>
      <c r="K242" s="5">
        <v>539.88314000000003</v>
      </c>
      <c r="L242" s="5">
        <v>910.24424999999997</v>
      </c>
      <c r="M242" s="5">
        <v>1369.3799100000001</v>
      </c>
    </row>
    <row r="243" spans="1:13" x14ac:dyDescent="0.25">
      <c r="A243" s="69">
        <v>42507</v>
      </c>
      <c r="B243" s="5">
        <v>169.86215999999999</v>
      </c>
      <c r="C243" s="5">
        <v>224.11401000000001</v>
      </c>
      <c r="D243" s="5">
        <v>287.69339000000002</v>
      </c>
      <c r="E243" s="5">
        <v>398.70740000000001</v>
      </c>
      <c r="F243" s="5">
        <v>686.67663000000005</v>
      </c>
      <c r="G243" s="5">
        <v>0</v>
      </c>
      <c r="H243" s="5">
        <v>166.19557</v>
      </c>
      <c r="I243" s="5">
        <v>248.74924999999999</v>
      </c>
      <c r="J243" s="5">
        <v>373.49068999999997</v>
      </c>
      <c r="K243" s="5">
        <v>539.90209000000004</v>
      </c>
      <c r="L243" s="5">
        <v>910.41063999999994</v>
      </c>
      <c r="M243" s="5">
        <v>1369.36797</v>
      </c>
    </row>
    <row r="244" spans="1:13" x14ac:dyDescent="0.25">
      <c r="A244" s="69">
        <v>42508</v>
      </c>
      <c r="B244" s="5">
        <v>169.87652</v>
      </c>
      <c r="C244" s="5">
        <v>224.3229</v>
      </c>
      <c r="D244" s="5">
        <v>287.94558999999998</v>
      </c>
      <c r="E244" s="5">
        <v>399.68484999999998</v>
      </c>
      <c r="F244" s="5">
        <v>688.64778999999999</v>
      </c>
      <c r="G244" s="5">
        <v>0</v>
      </c>
      <c r="H244" s="5">
        <v>166.25246000000001</v>
      </c>
      <c r="I244" s="5">
        <v>248.78677999999999</v>
      </c>
      <c r="J244" s="5">
        <v>373.53631000000001</v>
      </c>
      <c r="K244" s="5">
        <v>539.98108000000002</v>
      </c>
      <c r="L244" s="5">
        <v>910.76392999999996</v>
      </c>
      <c r="M244" s="5">
        <v>1369.5493799999999</v>
      </c>
    </row>
    <row r="245" spans="1:13" x14ac:dyDescent="0.25">
      <c r="A245" s="69">
        <v>42509</v>
      </c>
      <c r="B245" s="5">
        <v>169.81048999999999</v>
      </c>
      <c r="C245" s="5">
        <v>224.99250000000001</v>
      </c>
      <c r="D245" s="5">
        <v>288.01213999999999</v>
      </c>
      <c r="E245" s="5">
        <v>399.35478000000001</v>
      </c>
      <c r="F245" s="5">
        <v>693.91078000000005</v>
      </c>
      <c r="G245" s="5">
        <v>0</v>
      </c>
      <c r="H245" s="5">
        <v>166.25434000000001</v>
      </c>
      <c r="I245" s="5">
        <v>248.78524999999999</v>
      </c>
      <c r="J245" s="5">
        <v>373.50851</v>
      </c>
      <c r="K245" s="5">
        <v>550.91322000000002</v>
      </c>
      <c r="L245" s="5">
        <v>911.95221000000004</v>
      </c>
      <c r="M245" s="5">
        <v>1370.99911</v>
      </c>
    </row>
    <row r="246" spans="1:13" x14ac:dyDescent="0.25">
      <c r="A246" s="69">
        <v>42510</v>
      </c>
      <c r="B246" s="5">
        <v>170.05847</v>
      </c>
      <c r="C246" s="5">
        <v>225.55282</v>
      </c>
      <c r="D246" s="5">
        <v>289.73811000000001</v>
      </c>
      <c r="E246" s="5">
        <v>401.81515999999999</v>
      </c>
      <c r="F246" s="5">
        <v>692.99193000000002</v>
      </c>
      <c r="G246" s="5">
        <v>0</v>
      </c>
      <c r="H246" s="5">
        <v>166.26463000000001</v>
      </c>
      <c r="I246" s="5">
        <v>248.76262</v>
      </c>
      <c r="J246" s="5">
        <v>373.51288</v>
      </c>
      <c r="K246" s="5">
        <v>550.96920999999998</v>
      </c>
      <c r="L246" s="5">
        <v>932.99756000000002</v>
      </c>
      <c r="M246" s="5">
        <v>1429.3861999999999</v>
      </c>
    </row>
    <row r="247" spans="1:13" x14ac:dyDescent="0.25">
      <c r="A247" s="69">
        <v>42513</v>
      </c>
      <c r="B247" s="5">
        <v>170.30374</v>
      </c>
      <c r="C247" s="5">
        <v>225.65882999999999</v>
      </c>
      <c r="D247" s="5">
        <v>289.79798</v>
      </c>
      <c r="E247" s="5">
        <v>401.82749000000001</v>
      </c>
      <c r="F247" s="5">
        <v>692.97927000000004</v>
      </c>
      <c r="G247" s="5">
        <v>0</v>
      </c>
      <c r="H247" s="5">
        <v>166.27178000000001</v>
      </c>
      <c r="I247" s="5">
        <v>248.59334000000001</v>
      </c>
      <c r="J247" s="5">
        <v>373.52598999999998</v>
      </c>
      <c r="K247" s="5">
        <v>550.93034999999998</v>
      </c>
      <c r="L247" s="5">
        <v>932.50973999999997</v>
      </c>
      <c r="M247" s="5">
        <v>1429.41092</v>
      </c>
    </row>
    <row r="248" spans="1:13" x14ac:dyDescent="0.25">
      <c r="A248" s="69">
        <v>42514</v>
      </c>
      <c r="B248" s="5">
        <v>170.34114</v>
      </c>
      <c r="C248" s="5">
        <v>225.83296000000001</v>
      </c>
      <c r="D248" s="5">
        <v>289.99018000000001</v>
      </c>
      <c r="E248" s="5">
        <v>402.33994000000001</v>
      </c>
      <c r="F248" s="5">
        <v>694.06560000000002</v>
      </c>
      <c r="G248" s="5">
        <v>0</v>
      </c>
      <c r="H248" s="5">
        <v>166.25527</v>
      </c>
      <c r="I248" s="5">
        <v>248.55403000000001</v>
      </c>
      <c r="J248" s="5">
        <v>372.92991999999998</v>
      </c>
      <c r="K248" s="5">
        <v>551.10186999999996</v>
      </c>
      <c r="L248" s="5">
        <v>929.15387999999996</v>
      </c>
      <c r="M248" s="5">
        <v>1429.4429399999999</v>
      </c>
    </row>
    <row r="249" spans="1:13" x14ac:dyDescent="0.25">
      <c r="A249" s="69">
        <v>42515</v>
      </c>
      <c r="B249" s="5">
        <v>170.30506</v>
      </c>
      <c r="C249" s="5">
        <v>225.85917000000001</v>
      </c>
      <c r="D249" s="5">
        <v>289.79435000000001</v>
      </c>
      <c r="E249" s="5">
        <v>401.60246999999998</v>
      </c>
      <c r="F249" s="5">
        <v>693.62959999999998</v>
      </c>
      <c r="G249" s="5">
        <v>0</v>
      </c>
      <c r="H249" s="5">
        <v>166.22153</v>
      </c>
      <c r="I249" s="5">
        <v>248.46399</v>
      </c>
      <c r="J249" s="5">
        <v>359.93651</v>
      </c>
      <c r="K249" s="5">
        <v>550.72762999999998</v>
      </c>
      <c r="L249" s="5">
        <v>929.12959000000001</v>
      </c>
      <c r="M249" s="5">
        <v>1429.00341</v>
      </c>
    </row>
    <row r="250" spans="1:13" x14ac:dyDescent="0.25">
      <c r="A250" s="69">
        <v>42516</v>
      </c>
      <c r="B250" s="5">
        <v>170.02807000000001</v>
      </c>
      <c r="C250" s="5">
        <v>225.36170999999999</v>
      </c>
      <c r="D250" s="5">
        <v>289.60833000000002</v>
      </c>
      <c r="E250" s="5">
        <v>401.31894</v>
      </c>
      <c r="F250" s="5">
        <v>693.39448000000004</v>
      </c>
      <c r="G250" s="5">
        <v>0</v>
      </c>
      <c r="H250" s="5">
        <v>166.16077000000001</v>
      </c>
      <c r="I250" s="5">
        <v>248.30958000000001</v>
      </c>
      <c r="J250" s="5">
        <v>359.81560999999999</v>
      </c>
      <c r="K250" s="5">
        <v>550.59500000000003</v>
      </c>
      <c r="L250" s="5">
        <v>928.70894999999996</v>
      </c>
      <c r="M250" s="5">
        <v>1428.8060399999999</v>
      </c>
    </row>
    <row r="251" spans="1:13" x14ac:dyDescent="0.25">
      <c r="A251" s="69">
        <v>42517</v>
      </c>
      <c r="B251" s="5">
        <v>169.85901000000001</v>
      </c>
      <c r="C251" s="5">
        <v>223.87514999999999</v>
      </c>
      <c r="D251" s="5">
        <v>289.96334999999999</v>
      </c>
      <c r="E251" s="5">
        <v>402.25324000000001</v>
      </c>
      <c r="F251" s="5">
        <v>691.38927999999999</v>
      </c>
      <c r="G251" s="5">
        <v>0</v>
      </c>
      <c r="H251" s="5">
        <v>166.12756999999999</v>
      </c>
      <c r="I251" s="5">
        <v>248.16161</v>
      </c>
      <c r="J251" s="5">
        <v>359.91807999999997</v>
      </c>
      <c r="K251" s="5">
        <v>550.62427000000002</v>
      </c>
      <c r="L251" s="5">
        <v>928.56470000000002</v>
      </c>
      <c r="M251" s="5">
        <v>1428.8494700000001</v>
      </c>
    </row>
    <row r="252" spans="1:13" x14ac:dyDescent="0.25">
      <c r="A252" s="69">
        <v>42521</v>
      </c>
      <c r="B252" s="5">
        <v>167.80976000000001</v>
      </c>
      <c r="C252" s="5">
        <v>223.06422000000001</v>
      </c>
      <c r="D252" s="5">
        <v>289.54523</v>
      </c>
      <c r="E252" s="5">
        <v>401.92770999999999</v>
      </c>
      <c r="F252" s="5">
        <v>689.81745999999998</v>
      </c>
      <c r="G252" s="5">
        <v>0</v>
      </c>
      <c r="H252" s="5">
        <v>166.07346999999999</v>
      </c>
      <c r="I252" s="5">
        <v>247.98795000000001</v>
      </c>
      <c r="J252" s="5">
        <v>359.72536000000002</v>
      </c>
      <c r="K252" s="5">
        <v>550.64362000000006</v>
      </c>
      <c r="L252" s="5">
        <v>927.82632000000001</v>
      </c>
      <c r="M252" s="5">
        <v>1427.6871000000001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08.31.2016</vt:lpstr>
      <vt:lpstr>CLOIE Pre and Post Crisis Index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2019-08-18T05:15:18Z</dcterms:created>
  <dcterms:modified xsi:type="dcterms:W3CDTF">2019-08-18T05:40:50Z</dcterms:modified>
</cp:coreProperties>
</file>